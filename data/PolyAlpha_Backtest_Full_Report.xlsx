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Summary Metrics" sheetId="2" state="visible" r:id="rId2"/>
    <sheet xmlns:r="http://schemas.openxmlformats.org/officeDocument/2006/relationships" name="Equity Curve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4"/>
    </font>
    <font>
      <i val="1"/>
      <color rgb="00666666"/>
    </font>
    <font>
      <name val="Calibri"/>
      <b val="1"/>
      <color rgb="002F5496"/>
      <sz val="11"/>
    </font>
    <font>
      <b val="1"/>
    </font>
    <font/>
    <font>
      <name val="Calibri"/>
      <b val="1"/>
      <sz val="14"/>
    </font>
    <font>
      <name val="Calibri"/>
      <sz val="11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4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4" fontId="0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PolyAlpha Equity Curve ($1,000 Starting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Curve'!B1</f>
            </strRef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Curve'!$A$2:$A$99</f>
            </numRef>
          </cat>
          <val>
            <numRef>
              <f>'Equity Curve'!$B$2:$B$99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8" customWidth="1" min="4" max="4"/>
    <col width="7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2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#</t>
        </is>
      </c>
      <c r="B1" s="1" t="inlineStr">
        <is>
          <t>Market Question</t>
        </is>
      </c>
      <c r="C1" s="1" t="inlineStr">
        <is>
          <t>Date</t>
        </is>
      </c>
      <c r="D1" s="1" t="inlineStr">
        <is>
          <t>Side</t>
        </is>
      </c>
      <c r="E1" s="1" t="inlineStr">
        <is>
          <t>Won?</t>
        </is>
      </c>
      <c r="F1" s="1" t="inlineStr">
        <is>
          <t>Entry Price</t>
        </is>
      </c>
      <c r="G1" s="1" t="inlineStr">
        <is>
          <t>AI Prob</t>
        </is>
      </c>
      <c r="H1" s="1" t="inlineStr">
        <is>
          <t>Edge</t>
        </is>
      </c>
      <c r="I1" s="1" t="inlineStr">
        <is>
          <t>Edge (bps)</t>
        </is>
      </c>
      <c r="J1" s="1" t="inlineStr">
        <is>
          <t>Full Kelly</t>
        </is>
      </c>
      <c r="K1" s="1" t="inlineStr">
        <is>
          <t>Quarter Kelly</t>
        </is>
      </c>
      <c r="L1" s="1" t="inlineStr">
        <is>
          <t>Bet Size ($)</t>
        </is>
      </c>
      <c r="M1" s="1" t="inlineStr">
        <is>
          <t>Shares</t>
        </is>
      </c>
      <c r="N1" s="1" t="inlineStr">
        <is>
          <t>Cost ($)</t>
        </is>
      </c>
      <c r="O1" s="1" t="inlineStr">
        <is>
          <t>Payout ($)</t>
        </is>
      </c>
      <c r="P1" s="1" t="inlineStr">
        <is>
          <t>Cash PnL ($)</t>
        </is>
      </c>
      <c r="Q1" s="1" t="inlineStr">
        <is>
          <t>Slippage ($)</t>
        </is>
      </c>
      <c r="R1" s="1" t="inlineStr">
        <is>
          <t>Net PnL ($)</t>
        </is>
      </c>
      <c r="S1" s="1" t="inlineStr">
        <is>
          <t>Balance ($)</t>
        </is>
      </c>
      <c r="T1" s="1" t="inlineStr">
        <is>
          <t>Peak ($)</t>
        </is>
      </c>
      <c r="U1" s="1" t="inlineStr">
        <is>
          <t>Drawdown %</t>
        </is>
      </c>
      <c r="V1" s="1" t="inlineStr">
        <is>
          <t>Return %</t>
        </is>
      </c>
    </row>
    <row r="2">
      <c r="A2" s="2" t="n">
        <v>1</v>
      </c>
      <c r="B2" s="2" t="inlineStr">
        <is>
          <t>Will the Ethereum 2.0 Genesis Event happen successfully on December 1st, 2020?</t>
        </is>
      </c>
      <c r="C2" s="2" t="inlineStr">
        <is>
          <t>2020-12-01 15:56:33</t>
        </is>
      </c>
      <c r="D2" s="2" t="inlineStr">
        <is>
          <t>LONG</t>
        </is>
      </c>
      <c r="E2" s="2" t="inlineStr">
        <is>
          <t>WIN</t>
        </is>
      </c>
      <c r="F2" s="3" t="n">
        <v>0.6818</v>
      </c>
      <c r="G2" s="3" t="n">
        <v>0.7418</v>
      </c>
      <c r="H2" s="3" t="n">
        <v>0.06</v>
      </c>
      <c r="I2" s="2" t="n">
        <v>600</v>
      </c>
      <c r="J2" s="3" t="n">
        <v>0.188561</v>
      </c>
      <c r="K2" s="3" t="n">
        <v>0.04714</v>
      </c>
      <c r="L2" s="4" t="n">
        <v>47.14</v>
      </c>
      <c r="M2" s="4" t="n">
        <v>69.1405</v>
      </c>
      <c r="N2" s="4" t="n">
        <v>47.14</v>
      </c>
      <c r="O2" s="4" t="n">
        <v>69.1405</v>
      </c>
      <c r="P2" s="4" t="n">
        <v>22.0005</v>
      </c>
      <c r="Q2" s="4" t="n">
        <v>0.2357</v>
      </c>
      <c r="R2" s="4" t="n">
        <v>21.7648</v>
      </c>
      <c r="S2" s="4" t="n">
        <v>1021.7648</v>
      </c>
      <c r="T2" s="4" t="n">
        <v>1021.7648</v>
      </c>
      <c r="U2" s="5" t="n">
        <v>0</v>
      </c>
      <c r="V2" s="5" t="n">
        <v>2.1765</v>
      </c>
    </row>
    <row r="3">
      <c r="A3" s="2" t="n">
        <v>2</v>
      </c>
      <c r="B3" s="2" t="inlineStr">
        <is>
          <t>Will $BTC break $20k before Thanksgiving?</t>
        </is>
      </c>
      <c r="C3" s="2" t="inlineStr">
        <is>
          <t>2020-11-26 06:01:19</t>
        </is>
      </c>
      <c r="D3" s="2" t="inlineStr">
        <is>
          <t>LONG</t>
        </is>
      </c>
      <c r="E3" s="2" t="inlineStr">
        <is>
          <t>WIN</t>
        </is>
      </c>
      <c r="F3" s="3" t="n">
        <v>0.4754</v>
      </c>
      <c r="G3" s="3" t="n">
        <v>0.5354</v>
      </c>
      <c r="H3" s="3" t="n">
        <v>0.06</v>
      </c>
      <c r="I3" s="2" t="n">
        <v>600</v>
      </c>
      <c r="J3" s="3" t="n">
        <v>0.114373</v>
      </c>
      <c r="K3" s="3" t="n">
        <v>0.028593</v>
      </c>
      <c r="L3" s="4" t="n">
        <v>29.2153</v>
      </c>
      <c r="M3" s="4" t="n">
        <v>61.4542</v>
      </c>
      <c r="N3" s="4" t="n">
        <v>29.2153</v>
      </c>
      <c r="O3" s="4" t="n">
        <v>61.4542</v>
      </c>
      <c r="P3" s="4" t="n">
        <v>32.2389</v>
      </c>
      <c r="Q3" s="4" t="n">
        <v>0.1461</v>
      </c>
      <c r="R3" s="4" t="n">
        <v>32.0928</v>
      </c>
      <c r="S3" s="4" t="n">
        <v>1053.8576</v>
      </c>
      <c r="T3" s="4" t="n">
        <v>1053.8576</v>
      </c>
      <c r="U3" s="5" t="n">
        <v>0</v>
      </c>
      <c r="V3" s="5" t="n">
        <v>3.2093</v>
      </c>
    </row>
    <row r="4">
      <c r="A4" s="2" t="n">
        <v>3</v>
      </c>
      <c r="B4" s="2" t="inlineStr">
        <is>
          <t>Will Tesla announce a Bitcoin purchase before March 1, 2021?</t>
        </is>
      </c>
      <c r="C4" s="2" t="inlineStr">
        <is>
          <t>2021-02-08 14:34:13</t>
        </is>
      </c>
      <c r="D4" s="2" t="inlineStr">
        <is>
          <t>LONG</t>
        </is>
      </c>
      <c r="E4" s="2" t="inlineStr">
        <is>
          <t>WIN</t>
        </is>
      </c>
      <c r="F4" s="3" t="n">
        <v>0.6622</v>
      </c>
      <c r="G4" s="3" t="n">
        <v>0.7222</v>
      </c>
      <c r="H4" s="3" t="n">
        <v>0.06</v>
      </c>
      <c r="I4" s="2" t="n">
        <v>599</v>
      </c>
      <c r="J4" s="3" t="n">
        <v>0.17762</v>
      </c>
      <c r="K4" s="3" t="n">
        <v>0.044405</v>
      </c>
      <c r="L4" s="4" t="n">
        <v>46.7965</v>
      </c>
      <c r="M4" s="4" t="n">
        <v>70.6683</v>
      </c>
      <c r="N4" s="4" t="n">
        <v>46.7965</v>
      </c>
      <c r="O4" s="4" t="n">
        <v>70.6683</v>
      </c>
      <c r="P4" s="4" t="n">
        <v>23.8718</v>
      </c>
      <c r="Q4" s="4" t="n">
        <v>0.234</v>
      </c>
      <c r="R4" s="4" t="n">
        <v>23.6378</v>
      </c>
      <c r="S4" s="4" t="n">
        <v>1077.4954</v>
      </c>
      <c r="T4" s="4" t="n">
        <v>1077.4954</v>
      </c>
      <c r="U4" s="5" t="n">
        <v>0</v>
      </c>
      <c r="V4" s="5" t="n">
        <v>2.3638</v>
      </c>
    </row>
    <row r="5">
      <c r="A5" s="2" t="n">
        <v>4</v>
      </c>
      <c r="B5" s="2" t="inlineStr">
        <is>
          <t>Will Bitcoin or Tesla have a higher market cap on March 1, 2021?</t>
        </is>
      </c>
      <c r="C5" s="2" t="inlineStr">
        <is>
          <t>2021-03-01 14:30:31</t>
        </is>
      </c>
      <c r="D5" s="2" t="inlineStr">
        <is>
          <t>LONG</t>
        </is>
      </c>
      <c r="E5" s="2" t="inlineStr">
        <is>
          <t>WIN</t>
        </is>
      </c>
      <c r="F5" s="3" t="n">
        <v>0.4846</v>
      </c>
      <c r="G5" s="3" t="n">
        <v>0.5446</v>
      </c>
      <c r="H5" s="3" t="n">
        <v>0.06</v>
      </c>
      <c r="I5" s="2" t="n">
        <v>600</v>
      </c>
      <c r="J5" s="3" t="n">
        <v>0.116414</v>
      </c>
      <c r="K5" s="3" t="n">
        <v>0.029104</v>
      </c>
      <c r="L5" s="4" t="n">
        <v>31.3594</v>
      </c>
      <c r="M5" s="4" t="n">
        <v>64.712</v>
      </c>
      <c r="N5" s="4" t="n">
        <v>31.3594</v>
      </c>
      <c r="O5" s="4" t="n">
        <v>64.712</v>
      </c>
      <c r="P5" s="4" t="n">
        <v>33.3526</v>
      </c>
      <c r="Q5" s="4" t="n">
        <v>0.1568</v>
      </c>
      <c r="R5" s="4" t="n">
        <v>33.1958</v>
      </c>
      <c r="S5" s="4" t="n">
        <v>1110.6911</v>
      </c>
      <c r="T5" s="4" t="n">
        <v>1110.6911</v>
      </c>
      <c r="U5" s="5" t="n">
        <v>0</v>
      </c>
      <c r="V5" s="5" t="n">
        <v>3.3196</v>
      </c>
    </row>
    <row r="6">
      <c r="A6" s="2" t="n">
        <v>5</v>
      </c>
      <c r="B6" s="2" t="inlineStr">
        <is>
          <t>Will $BTC break $50k before April 1st, 2021?</t>
        </is>
      </c>
      <c r="C6" s="2" t="inlineStr">
        <is>
          <t>2021-02-16 21:29:32</t>
        </is>
      </c>
      <c r="D6" s="2" t="inlineStr">
        <is>
          <t>LONG</t>
        </is>
      </c>
      <c r="E6" s="2" t="inlineStr">
        <is>
          <t>WIN</t>
        </is>
      </c>
      <c r="F6" s="3" t="n">
        <v>0.5716</v>
      </c>
      <c r="G6" s="3" t="n">
        <v>0.6316000000000001</v>
      </c>
      <c r="H6" s="3" t="n">
        <v>0.06</v>
      </c>
      <c r="I6" s="2" t="n">
        <v>600</v>
      </c>
      <c r="J6" s="3" t="n">
        <v>0.140056</v>
      </c>
      <c r="K6" s="3" t="n">
        <v>0.035014</v>
      </c>
      <c r="L6" s="4" t="n">
        <v>38.8897</v>
      </c>
      <c r="M6" s="4" t="n">
        <v>68.03660000000001</v>
      </c>
      <c r="N6" s="4" t="n">
        <v>38.8897</v>
      </c>
      <c r="O6" s="4" t="n">
        <v>68.03660000000001</v>
      </c>
      <c r="P6" s="4" t="n">
        <v>29.1469</v>
      </c>
      <c r="Q6" s="4" t="n">
        <v>0.1944</v>
      </c>
      <c r="R6" s="4" t="n">
        <v>28.9524</v>
      </c>
      <c r="S6" s="4" t="n">
        <v>1139.6436</v>
      </c>
      <c r="T6" s="4" t="n">
        <v>1139.6436</v>
      </c>
      <c r="U6" s="5" t="n">
        <v>0</v>
      </c>
      <c r="V6" s="5" t="n">
        <v>2.8952</v>
      </c>
    </row>
    <row r="7">
      <c r="A7" s="6" t="n">
        <v>6</v>
      </c>
      <c r="B7" s="6" t="inlineStr">
        <is>
          <t>Will ETH be above $2000 on March 1st, 2021?</t>
        </is>
      </c>
      <c r="C7" s="6" t="inlineStr">
        <is>
          <t>2021-03-01 14:24:03</t>
        </is>
      </c>
      <c r="D7" s="6" t="inlineStr">
        <is>
          <t>LONG</t>
        </is>
      </c>
      <c r="E7" s="6" t="inlineStr">
        <is>
          <t>LOSS</t>
        </is>
      </c>
      <c r="F7" s="7" t="n">
        <v>0.5302</v>
      </c>
      <c r="G7" s="7" t="n">
        <v>0.5901999999999999</v>
      </c>
      <c r="H7" s="7" t="n">
        <v>0.06</v>
      </c>
      <c r="I7" s="6" t="n">
        <v>599</v>
      </c>
      <c r="J7" s="7" t="n">
        <v>0.127714</v>
      </c>
      <c r="K7" s="7" t="n">
        <v>0.031928</v>
      </c>
      <c r="L7" s="8" t="n">
        <v>36.3865</v>
      </c>
      <c r="M7" s="8" t="n">
        <v>68.628</v>
      </c>
      <c r="N7" s="8" t="n">
        <v>36.3865</v>
      </c>
      <c r="O7" s="8" t="n">
        <v>0</v>
      </c>
      <c r="P7" s="8" t="n">
        <v>-36.3865</v>
      </c>
      <c r="Q7" s="8" t="n">
        <v>0.1819</v>
      </c>
      <c r="R7" s="8" t="n">
        <v>-36.5685</v>
      </c>
      <c r="S7" s="8" t="n">
        <v>1103.0751</v>
      </c>
      <c r="T7" s="8" t="n">
        <v>1139.6436</v>
      </c>
      <c r="U7" s="9" t="n">
        <v>3.21</v>
      </c>
      <c r="V7" s="9" t="n">
        <v>-3.6568</v>
      </c>
    </row>
    <row r="8">
      <c r="A8" s="2" t="n">
        <v>7</v>
      </c>
      <c r="B8" s="2" t="inlineStr">
        <is>
          <t>Will Bitcoin ($BTC) be above $55k on March 15, 2021?</t>
        </is>
      </c>
      <c r="C8" s="2" t="inlineStr">
        <is>
          <t>2021-03-15 16:17:39</t>
        </is>
      </c>
      <c r="D8" s="2" t="inlineStr">
        <is>
          <t>LONG</t>
        </is>
      </c>
      <c r="E8" s="2" t="inlineStr">
        <is>
          <t>WIN</t>
        </is>
      </c>
      <c r="F8" s="3" t="n">
        <v>0.5114</v>
      </c>
      <c r="G8" s="3" t="n">
        <v>0.5714</v>
      </c>
      <c r="H8" s="3" t="n">
        <v>0.06</v>
      </c>
      <c r="I8" s="2" t="n">
        <v>600</v>
      </c>
      <c r="J8" s="3" t="n">
        <v>0.1228</v>
      </c>
      <c r="K8" s="3" t="n">
        <v>0.0307</v>
      </c>
      <c r="L8" s="4" t="n">
        <v>33.8644</v>
      </c>
      <c r="M8" s="4" t="n">
        <v>66.21899999999999</v>
      </c>
      <c r="N8" s="4" t="n">
        <v>33.8644</v>
      </c>
      <c r="O8" s="4" t="n">
        <v>66.21899999999999</v>
      </c>
      <c r="P8" s="4" t="n">
        <v>32.3546</v>
      </c>
      <c r="Q8" s="4" t="n">
        <v>0.1693</v>
      </c>
      <c r="R8" s="4" t="n">
        <v>32.1853</v>
      </c>
      <c r="S8" s="4" t="n">
        <v>1135.2604</v>
      </c>
      <c r="T8" s="4" t="n">
        <v>1139.6436</v>
      </c>
      <c r="U8" s="5" t="n">
        <v>0.38</v>
      </c>
      <c r="V8" s="5" t="n">
        <v>3.2185</v>
      </c>
    </row>
    <row r="9">
      <c r="A9" s="2" t="n">
        <v>8</v>
      </c>
      <c r="B9" s="2" t="inlineStr">
        <is>
          <t>Will ETH be above $1750 on March 22nd, 2021?</t>
        </is>
      </c>
      <c r="C9" s="2" t="inlineStr">
        <is>
          <t>2021-03-22 23:12:25</t>
        </is>
      </c>
      <c r="D9" s="2" t="inlineStr">
        <is>
          <t>LONG</t>
        </is>
      </c>
      <c r="E9" s="2" t="inlineStr">
        <is>
          <t>WIN</t>
        </is>
      </c>
      <c r="F9" s="3" t="n">
        <v>0.6205000000000001</v>
      </c>
      <c r="G9" s="3" t="n">
        <v>0.6805</v>
      </c>
      <c r="H9" s="3" t="n">
        <v>0.06</v>
      </c>
      <c r="I9" s="2" t="n">
        <v>599</v>
      </c>
      <c r="J9" s="3" t="n">
        <v>0.158103</v>
      </c>
      <c r="K9" s="3" t="n">
        <v>0.039526</v>
      </c>
      <c r="L9" s="4" t="n">
        <v>44.8723</v>
      </c>
      <c r="M9" s="4" t="n">
        <v>72.3164</v>
      </c>
      <c r="N9" s="4" t="n">
        <v>44.8723</v>
      </c>
      <c r="O9" s="4" t="n">
        <v>72.3164</v>
      </c>
      <c r="P9" s="4" t="n">
        <v>27.4441</v>
      </c>
      <c r="Q9" s="4" t="n">
        <v>0.2244</v>
      </c>
      <c r="R9" s="4" t="n">
        <v>27.2197</v>
      </c>
      <c r="S9" s="4" t="n">
        <v>1162.4801</v>
      </c>
      <c r="T9" s="4" t="n">
        <v>1162.4801</v>
      </c>
      <c r="U9" s="5" t="n">
        <v>0</v>
      </c>
      <c r="V9" s="5" t="n">
        <v>2.722</v>
      </c>
    </row>
    <row r="10">
      <c r="A10" s="6" t="n">
        <v>9</v>
      </c>
      <c r="B10" s="6" t="inlineStr">
        <is>
          <t>Will the average Ethereum gas price be below 170 Gwei on April 19?</t>
        </is>
      </c>
      <c r="C10" s="6" t="inlineStr">
        <is>
          <t>2021-04-20 17:24:23</t>
        </is>
      </c>
      <c r="D10" s="6" t="inlineStr">
        <is>
          <t>LONG</t>
        </is>
      </c>
      <c r="E10" s="6" t="inlineStr">
        <is>
          <t>LOSS</t>
        </is>
      </c>
      <c r="F10" s="7" t="n">
        <v>0.5211</v>
      </c>
      <c r="G10" s="7" t="n">
        <v>0.5810999999999999</v>
      </c>
      <c r="H10" s="7" t="n">
        <v>0.06</v>
      </c>
      <c r="I10" s="6" t="n">
        <v>599</v>
      </c>
      <c r="J10" s="7" t="n">
        <v>0.125287</v>
      </c>
      <c r="K10" s="7" t="n">
        <v>0.031322</v>
      </c>
      <c r="L10" s="8" t="n">
        <v>36.4112</v>
      </c>
      <c r="M10" s="8" t="n">
        <v>69.8737</v>
      </c>
      <c r="N10" s="8" t="n">
        <v>36.4112</v>
      </c>
      <c r="O10" s="8" t="n">
        <v>0</v>
      </c>
      <c r="P10" s="8" t="n">
        <v>-36.4112</v>
      </c>
      <c r="Q10" s="8" t="n">
        <v>0.1821</v>
      </c>
      <c r="R10" s="8" t="n">
        <v>-36.5933</v>
      </c>
      <c r="S10" s="8" t="n">
        <v>1125.8868</v>
      </c>
      <c r="T10" s="8" t="n">
        <v>1162.4801</v>
      </c>
      <c r="U10" s="9" t="n">
        <v>3.15</v>
      </c>
      <c r="V10" s="9" t="n">
        <v>-3.6593</v>
      </c>
    </row>
    <row r="11">
      <c r="A11" s="6" t="n">
        <v>10</v>
      </c>
      <c r="B11" s="6" t="inlineStr">
        <is>
          <t>Will Binance Coin (BNB) have a higher market cap than Ethereum (ETH) at any time before July 1, 2021</t>
        </is>
      </c>
      <c r="C11" s="6" t="inlineStr">
        <is>
          <t>2021-06-13 17:50:07</t>
        </is>
      </c>
      <c r="D11" s="6" t="inlineStr">
        <is>
          <t>LONG</t>
        </is>
      </c>
      <c r="E11" s="6" t="inlineStr">
        <is>
          <t>LOSS</t>
        </is>
      </c>
      <c r="F11" s="7" t="n">
        <v>0.4902</v>
      </c>
      <c r="G11" s="7" t="n">
        <v>0.5502</v>
      </c>
      <c r="H11" s="7" t="n">
        <v>0.06</v>
      </c>
      <c r="I11" s="6" t="n">
        <v>600</v>
      </c>
      <c r="J11" s="7" t="n">
        <v>0.117693</v>
      </c>
      <c r="K11" s="7" t="n">
        <v>0.029423</v>
      </c>
      <c r="L11" s="8" t="n">
        <v>33.127</v>
      </c>
      <c r="M11" s="8" t="n">
        <v>67.57850000000001</v>
      </c>
      <c r="N11" s="8" t="n">
        <v>33.127</v>
      </c>
      <c r="O11" s="8" t="n">
        <v>0</v>
      </c>
      <c r="P11" s="8" t="n">
        <v>-33.127</v>
      </c>
      <c r="Q11" s="8" t="n">
        <v>0.1656</v>
      </c>
      <c r="R11" s="8" t="n">
        <v>-33.2926</v>
      </c>
      <c r="S11" s="8" t="n">
        <v>1092.5942</v>
      </c>
      <c r="T11" s="8" t="n">
        <v>1162.4801</v>
      </c>
      <c r="U11" s="9" t="n">
        <v>6.01</v>
      </c>
      <c r="V11" s="9" t="n">
        <v>-3.3293</v>
      </c>
    </row>
    <row r="12">
      <c r="A12" s="2" t="n">
        <v>11</v>
      </c>
      <c r="B12" s="2" t="inlineStr">
        <is>
          <t>Will the average Ethereum gas price be below 150 Gwei on May 4, 2021?</t>
        </is>
      </c>
      <c r="C12" s="2" t="inlineStr">
        <is>
          <t>2021-05-05 22:11:49</t>
        </is>
      </c>
      <c r="D12" s="2" t="inlineStr">
        <is>
          <t>LONG</t>
        </is>
      </c>
      <c r="E12" s="2" t="inlineStr">
        <is>
          <t>WIN</t>
        </is>
      </c>
      <c r="F12" s="3" t="n">
        <v>0.5026</v>
      </c>
      <c r="G12" s="3" t="n">
        <v>0.5626</v>
      </c>
      <c r="H12" s="3" t="n">
        <v>0.06</v>
      </c>
      <c r="I12" s="2" t="n">
        <v>599</v>
      </c>
      <c r="J12" s="3" t="n">
        <v>0.120627</v>
      </c>
      <c r="K12" s="3" t="n">
        <v>0.030157</v>
      </c>
      <c r="L12" s="4" t="n">
        <v>32.9494</v>
      </c>
      <c r="M12" s="4" t="n">
        <v>65.5578</v>
      </c>
      <c r="N12" s="4" t="n">
        <v>32.9494</v>
      </c>
      <c r="O12" s="4" t="n">
        <v>65.5578</v>
      </c>
      <c r="P12" s="4" t="n">
        <v>32.6085</v>
      </c>
      <c r="Q12" s="4" t="n">
        <v>0.1647</v>
      </c>
      <c r="R12" s="4" t="n">
        <v>32.4437</v>
      </c>
      <c r="S12" s="4" t="n">
        <v>1125.0379</v>
      </c>
      <c r="T12" s="4" t="n">
        <v>1162.4801</v>
      </c>
      <c r="U12" s="5" t="n">
        <v>3.22</v>
      </c>
      <c r="V12" s="5" t="n">
        <v>3.2444</v>
      </c>
    </row>
    <row r="13">
      <c r="A13" s="6" t="n">
        <v>12</v>
      </c>
      <c r="B13" s="6" t="inlineStr">
        <is>
          <t>Will total sales exceed $20M for the Cryptopunks auction at Christie’s?</t>
        </is>
      </c>
      <c r="C13" s="6" t="inlineStr">
        <is>
          <t>2021-05-12 17:02:34</t>
        </is>
      </c>
      <c r="D13" s="6" t="inlineStr">
        <is>
          <t>LONG</t>
        </is>
      </c>
      <c r="E13" s="6" t="inlineStr">
        <is>
          <t>LOSS</t>
        </is>
      </c>
      <c r="F13" s="7" t="n">
        <v>0.2918</v>
      </c>
      <c r="G13" s="7" t="n">
        <v>0.3518</v>
      </c>
      <c r="H13" s="7" t="n">
        <v>0.06</v>
      </c>
      <c r="I13" s="6" t="n">
        <v>600</v>
      </c>
      <c r="J13" s="7" t="n">
        <v>0.08472200000000001</v>
      </c>
      <c r="K13" s="7" t="n">
        <v>0.02118</v>
      </c>
      <c r="L13" s="8" t="n">
        <v>23.8283</v>
      </c>
      <c r="M13" s="8" t="n">
        <v>81.6597</v>
      </c>
      <c r="N13" s="8" t="n">
        <v>23.8283</v>
      </c>
      <c r="O13" s="8" t="n">
        <v>0</v>
      </c>
      <c r="P13" s="8" t="n">
        <v>-23.8283</v>
      </c>
      <c r="Q13" s="8" t="n">
        <v>0.1191</v>
      </c>
      <c r="R13" s="8" t="n">
        <v>-23.9474</v>
      </c>
      <c r="S13" s="8" t="n">
        <v>1101.0905</v>
      </c>
      <c r="T13" s="8" t="n">
        <v>1162.4801</v>
      </c>
      <c r="U13" s="9" t="n">
        <v>5.28</v>
      </c>
      <c r="V13" s="9" t="n">
        <v>-2.3947</v>
      </c>
    </row>
    <row r="14">
      <c r="A14" s="2" t="n">
        <v>13</v>
      </c>
      <c r="B14" s="2" t="inlineStr">
        <is>
          <t>Will Magnus Carlsen win the FTX Crypto Cup?</t>
        </is>
      </c>
      <c r="C14" s="2" t="inlineStr">
        <is>
          <t>2021-06-01 15:47:42</t>
        </is>
      </c>
      <c r="D14" s="2" t="inlineStr">
        <is>
          <t>LONG</t>
        </is>
      </c>
      <c r="E14" s="2" t="inlineStr">
        <is>
          <t>WIN</t>
        </is>
      </c>
      <c r="F14" s="3" t="n">
        <v>0.4917</v>
      </c>
      <c r="G14" s="3" t="n">
        <v>0.5517</v>
      </c>
      <c r="H14" s="3" t="n">
        <v>0.06</v>
      </c>
      <c r="I14" s="2" t="n">
        <v>599</v>
      </c>
      <c r="J14" s="3" t="n">
        <v>0.118041</v>
      </c>
      <c r="K14" s="3" t="n">
        <v>0.02951</v>
      </c>
      <c r="L14" s="4" t="n">
        <v>32.4932</v>
      </c>
      <c r="M14" s="4" t="n">
        <v>66.08329999999999</v>
      </c>
      <c r="N14" s="4" t="n">
        <v>32.4932</v>
      </c>
      <c r="O14" s="4" t="n">
        <v>66.08329999999999</v>
      </c>
      <c r="P14" s="4" t="n">
        <v>33.5902</v>
      </c>
      <c r="Q14" s="4" t="n">
        <v>0.1625</v>
      </c>
      <c r="R14" s="4" t="n">
        <v>33.4277</v>
      </c>
      <c r="S14" s="4" t="n">
        <v>1134.5182</v>
      </c>
      <c r="T14" s="4" t="n">
        <v>1162.4801</v>
      </c>
      <c r="U14" s="5" t="n">
        <v>2.41</v>
      </c>
      <c r="V14" s="5" t="n">
        <v>3.3428</v>
      </c>
    </row>
    <row r="15">
      <c r="A15" s="2" t="n">
        <v>14</v>
      </c>
      <c r="B15" s="2" t="inlineStr">
        <is>
          <t>Will Hikaru Nakamura or Ian Nepomniachtchi win in their FTX Crypto Cup preliminary match?</t>
        </is>
      </c>
      <c r="C15" s="2" t="inlineStr">
        <is>
          <t>2021-05-23 19:05:48</t>
        </is>
      </c>
      <c r="D15" s="2" t="inlineStr">
        <is>
          <t>LONG</t>
        </is>
      </c>
      <c r="E15" s="2" t="inlineStr">
        <is>
          <t>WIN</t>
        </is>
      </c>
      <c r="F15" s="3" t="n">
        <v>0.6511</v>
      </c>
      <c r="G15" s="3" t="n">
        <v>0.7111</v>
      </c>
      <c r="H15" s="3" t="n">
        <v>0.06</v>
      </c>
      <c r="I15" s="2" t="n">
        <v>599</v>
      </c>
      <c r="J15" s="3" t="n">
        <v>0.171969</v>
      </c>
      <c r="K15" s="3" t="n">
        <v>0.042992</v>
      </c>
      <c r="L15" s="4" t="n">
        <v>48.7752</v>
      </c>
      <c r="M15" s="4" t="n">
        <v>74.91200000000001</v>
      </c>
      <c r="N15" s="4" t="n">
        <v>48.7752</v>
      </c>
      <c r="O15" s="4" t="n">
        <v>74.91200000000001</v>
      </c>
      <c r="P15" s="4" t="n">
        <v>26.1368</v>
      </c>
      <c r="Q15" s="4" t="n">
        <v>0.2439</v>
      </c>
      <c r="R15" s="4" t="n">
        <v>25.8929</v>
      </c>
      <c r="S15" s="4" t="n">
        <v>1160.4111</v>
      </c>
      <c r="T15" s="4" t="n">
        <v>1162.4801</v>
      </c>
      <c r="U15" s="5" t="n">
        <v>0.18</v>
      </c>
      <c r="V15" s="5" t="n">
        <v>2.5893</v>
      </c>
    </row>
    <row r="16">
      <c r="A16" s="2" t="n">
        <v>15</v>
      </c>
      <c r="B16" s="2" t="inlineStr">
        <is>
          <t>Will Hikaru Nakamura draw 3 or more times during his May 24 FTX Crypto Cup preliminary games?</t>
        </is>
      </c>
      <c r="C16" s="2" t="inlineStr">
        <is>
          <t>2021-05-24 18:52:01</t>
        </is>
      </c>
      <c r="D16" s="2" t="inlineStr">
        <is>
          <t>LONG</t>
        </is>
      </c>
      <c r="E16" s="2" t="inlineStr">
        <is>
          <t>WIN</t>
        </is>
      </c>
      <c r="F16" s="3" t="n">
        <v>0.55</v>
      </c>
      <c r="G16" s="3" t="n">
        <v>0.61</v>
      </c>
      <c r="H16" s="3" t="n">
        <v>0.06</v>
      </c>
      <c r="I16" s="2" t="n">
        <v>599</v>
      </c>
      <c r="J16" s="3" t="n">
        <v>0.133333</v>
      </c>
      <c r="K16" s="3" t="n">
        <v>0.033333</v>
      </c>
      <c r="L16" s="4" t="n">
        <v>38.68</v>
      </c>
      <c r="M16" s="4" t="n">
        <v>70.3272</v>
      </c>
      <c r="N16" s="4" t="n">
        <v>38.68</v>
      </c>
      <c r="O16" s="4" t="n">
        <v>70.3272</v>
      </c>
      <c r="P16" s="4" t="n">
        <v>31.6473</v>
      </c>
      <c r="Q16" s="4" t="n">
        <v>0.1934</v>
      </c>
      <c r="R16" s="4" t="n">
        <v>31.4539</v>
      </c>
      <c r="S16" s="4" t="n">
        <v>1191.865</v>
      </c>
      <c r="T16" s="4" t="n">
        <v>1191.865</v>
      </c>
      <c r="U16" s="5" t="n">
        <v>0</v>
      </c>
      <c r="V16" s="5" t="n">
        <v>3.1454</v>
      </c>
    </row>
    <row r="17">
      <c r="A17" s="2" t="n">
        <v>16</v>
      </c>
      <c r="B17" s="2" t="inlineStr">
        <is>
          <t>Will Hikaru Nakamura get 9 or more points in the preliminaries of the FTX Crypto Cup?</t>
        </is>
      </c>
      <c r="C17" s="2" t="inlineStr">
        <is>
          <t>2021-05-25 21:10:31</t>
        </is>
      </c>
      <c r="D17" s="2" t="inlineStr">
        <is>
          <t>LONG</t>
        </is>
      </c>
      <c r="E17" s="2" t="inlineStr">
        <is>
          <t>WIN</t>
        </is>
      </c>
      <c r="F17" s="3" t="n">
        <v>0.5768</v>
      </c>
      <c r="G17" s="3" t="n">
        <v>0.6368</v>
      </c>
      <c r="H17" s="3" t="n">
        <v>0.06</v>
      </c>
      <c r="I17" s="2" t="n">
        <v>600</v>
      </c>
      <c r="J17" s="3" t="n">
        <v>0.141777</v>
      </c>
      <c r="K17" s="3" t="n">
        <v>0.035444</v>
      </c>
      <c r="L17" s="4" t="n">
        <v>42.2445</v>
      </c>
      <c r="M17" s="4" t="n">
        <v>73.2394</v>
      </c>
      <c r="N17" s="4" t="n">
        <v>42.2445</v>
      </c>
      <c r="O17" s="4" t="n">
        <v>73.2394</v>
      </c>
      <c r="P17" s="4" t="n">
        <v>30.9949</v>
      </c>
      <c r="Q17" s="4" t="n">
        <v>0.2112</v>
      </c>
      <c r="R17" s="4" t="n">
        <v>30.7837</v>
      </c>
      <c r="S17" s="4" t="n">
        <v>1222.6487</v>
      </c>
      <c r="T17" s="4" t="n">
        <v>1222.6487</v>
      </c>
      <c r="U17" s="5" t="n">
        <v>0</v>
      </c>
      <c r="V17" s="5" t="n">
        <v>3.0784</v>
      </c>
    </row>
    <row r="18">
      <c r="A18" s="2" t="n">
        <v>17</v>
      </c>
      <c r="B18" s="2" t="inlineStr">
        <is>
          <t>Will the FTX Crypto Cup preliminary game between Anish Giri and Magnus Carlsen end in a draw?</t>
        </is>
      </c>
      <c r="C18" s="2" t="inlineStr">
        <is>
          <t>2021-05-24 15:51:13</t>
        </is>
      </c>
      <c r="D18" s="2" t="inlineStr">
        <is>
          <t>LONG</t>
        </is>
      </c>
      <c r="E18" s="2" t="inlineStr">
        <is>
          <t>WIN</t>
        </is>
      </c>
      <c r="F18" s="3" t="n">
        <v>0.5012</v>
      </c>
      <c r="G18" s="3" t="n">
        <v>0.5612</v>
      </c>
      <c r="H18" s="3" t="n">
        <v>0.06</v>
      </c>
      <c r="I18" s="2" t="n">
        <v>600</v>
      </c>
      <c r="J18" s="3" t="n">
        <v>0.120289</v>
      </c>
      <c r="K18" s="3" t="n">
        <v>0.030072</v>
      </c>
      <c r="L18" s="4" t="n">
        <v>36.7675</v>
      </c>
      <c r="M18" s="4" t="n">
        <v>73.35890000000001</v>
      </c>
      <c r="N18" s="4" t="n">
        <v>36.7675</v>
      </c>
      <c r="O18" s="4" t="n">
        <v>73.35890000000001</v>
      </c>
      <c r="P18" s="4" t="n">
        <v>36.5914</v>
      </c>
      <c r="Q18" s="4" t="n">
        <v>0.1838</v>
      </c>
      <c r="R18" s="4" t="n">
        <v>36.4076</v>
      </c>
      <c r="S18" s="4" t="n">
        <v>1259.0562</v>
      </c>
      <c r="T18" s="4" t="n">
        <v>1259.0562</v>
      </c>
      <c r="U18" s="5" t="n">
        <v>0</v>
      </c>
      <c r="V18" s="5" t="n">
        <v>3.6408</v>
      </c>
    </row>
    <row r="19">
      <c r="A19" s="2" t="n">
        <v>18</v>
      </c>
      <c r="B19" s="2" t="inlineStr">
        <is>
          <t>Will the FTX Crypto Cup preliminary game between Anish Giri and Hikaru Nakamura end in a draw?</t>
        </is>
      </c>
      <c r="C19" s="2" t="inlineStr">
        <is>
          <t>2021-05-24 16:52:16</t>
        </is>
      </c>
      <c r="D19" s="2" t="inlineStr">
        <is>
          <t>LONG</t>
        </is>
      </c>
      <c r="E19" s="2" t="inlineStr">
        <is>
          <t>WIN</t>
        </is>
      </c>
      <c r="F19" s="3" t="n">
        <v>0.6308</v>
      </c>
      <c r="G19" s="3" t="n">
        <v>0.6908</v>
      </c>
      <c r="H19" s="3" t="n">
        <v>0.06</v>
      </c>
      <c r="I19" s="2" t="n">
        <v>599</v>
      </c>
      <c r="J19" s="3" t="n">
        <v>0.162514</v>
      </c>
      <c r="K19" s="3" t="n">
        <v>0.040628</v>
      </c>
      <c r="L19" s="4" t="n">
        <v>51.1529</v>
      </c>
      <c r="M19" s="4" t="n">
        <v>81.09220000000001</v>
      </c>
      <c r="N19" s="4" t="n">
        <v>51.1529</v>
      </c>
      <c r="O19" s="4" t="n">
        <v>81.09220000000001</v>
      </c>
      <c r="P19" s="4" t="n">
        <v>29.9392</v>
      </c>
      <c r="Q19" s="4" t="n">
        <v>0.2558</v>
      </c>
      <c r="R19" s="4" t="n">
        <v>29.6835</v>
      </c>
      <c r="S19" s="4" t="n">
        <v>1288.7397</v>
      </c>
      <c r="T19" s="4" t="n">
        <v>1288.7397</v>
      </c>
      <c r="U19" s="5" t="n">
        <v>0</v>
      </c>
      <c r="V19" s="5" t="n">
        <v>2.9683</v>
      </c>
    </row>
    <row r="20">
      <c r="A20" s="2" t="n">
        <v>19</v>
      </c>
      <c r="B20" s="2" t="inlineStr">
        <is>
          <t>Will Magnus Carlsen or Daniil Dubov win in their FTX Crypto Cup preliminary game?</t>
        </is>
      </c>
      <c r="C20" s="2" t="inlineStr">
        <is>
          <t>2021-05-24 18:52:21</t>
        </is>
      </c>
      <c r="D20" s="2" t="inlineStr">
        <is>
          <t>LONG</t>
        </is>
      </c>
      <c r="E20" s="2" t="inlineStr">
        <is>
          <t>WIN</t>
        </is>
      </c>
      <c r="F20" s="3" t="n">
        <v>0.6748</v>
      </c>
      <c r="G20" s="3" t="n">
        <v>0.7348</v>
      </c>
      <c r="H20" s="3" t="n">
        <v>0.06</v>
      </c>
      <c r="I20" s="2" t="n">
        <v>600</v>
      </c>
      <c r="J20" s="3" t="n">
        <v>0.184502</v>
      </c>
      <c r="K20" s="3" t="n">
        <v>0.046125</v>
      </c>
      <c r="L20" s="4" t="n">
        <v>59.4431</v>
      </c>
      <c r="M20" s="4" t="n">
        <v>88.09</v>
      </c>
      <c r="N20" s="4" t="n">
        <v>59.4431</v>
      </c>
      <c r="O20" s="4" t="n">
        <v>88.09</v>
      </c>
      <c r="P20" s="4" t="n">
        <v>28.6469</v>
      </c>
      <c r="Q20" s="4" t="n">
        <v>0.2972</v>
      </c>
      <c r="R20" s="4" t="n">
        <v>28.3496</v>
      </c>
      <c r="S20" s="4" t="n">
        <v>1317.0894</v>
      </c>
      <c r="T20" s="4" t="n">
        <v>1317.0894</v>
      </c>
      <c r="U20" s="5" t="n">
        <v>0</v>
      </c>
      <c r="V20" s="5" t="n">
        <v>2.835</v>
      </c>
    </row>
    <row r="21">
      <c r="A21" s="2" t="n">
        <v>20</v>
      </c>
      <c r="B21" s="2" t="inlineStr">
        <is>
          <t>Will the FTX Crypto Cup preliminary game between Magnus Carlsen and Alireza Firouzja end in a draw?</t>
        </is>
      </c>
      <c r="C21" s="2" t="inlineStr">
        <is>
          <t>2021-05-25 16:47:53</t>
        </is>
      </c>
      <c r="D21" s="2" t="inlineStr">
        <is>
          <t>LONG</t>
        </is>
      </c>
      <c r="E21" s="2" t="inlineStr">
        <is>
          <t>WIN</t>
        </is>
      </c>
      <c r="F21" s="3" t="n">
        <v>0.6391</v>
      </c>
      <c r="G21" s="3" t="n">
        <v>0.6991000000000001</v>
      </c>
      <c r="H21" s="3" t="n">
        <v>0.06</v>
      </c>
      <c r="I21" s="2" t="n">
        <v>600</v>
      </c>
      <c r="J21" s="3" t="n">
        <v>0.166251</v>
      </c>
      <c r="K21" s="3" t="n">
        <v>0.041563</v>
      </c>
      <c r="L21" s="4" t="n">
        <v>54.7422</v>
      </c>
      <c r="M21" s="4" t="n">
        <v>85.6551</v>
      </c>
      <c r="N21" s="4" t="n">
        <v>54.7422</v>
      </c>
      <c r="O21" s="4" t="n">
        <v>85.6551</v>
      </c>
      <c r="P21" s="4" t="n">
        <v>30.9129</v>
      </c>
      <c r="Q21" s="4" t="n">
        <v>0.2737</v>
      </c>
      <c r="R21" s="4" t="n">
        <v>30.6392</v>
      </c>
      <c r="S21" s="4" t="n">
        <v>1347.7286</v>
      </c>
      <c r="T21" s="4" t="n">
        <v>1347.7286</v>
      </c>
      <c r="U21" s="5" t="n">
        <v>0</v>
      </c>
      <c r="V21" s="5" t="n">
        <v>3.0639</v>
      </c>
    </row>
    <row r="22">
      <c r="A22" s="6" t="n">
        <v>21</v>
      </c>
      <c r="B22" s="6" t="inlineStr">
        <is>
          <t>Will Anish Giri or Teimour Radjabov win their Quarterfinals Series of the FTX Crypto Cup?</t>
        </is>
      </c>
      <c r="C22" s="6" t="inlineStr">
        <is>
          <t>2021-05-27 19:13:49</t>
        </is>
      </c>
      <c r="D22" s="6" t="inlineStr">
        <is>
          <t>LONG</t>
        </is>
      </c>
      <c r="E22" s="6" t="inlineStr">
        <is>
          <t>LOSS</t>
        </is>
      </c>
      <c r="F22" s="7" t="n">
        <v>0.3578</v>
      </c>
      <c r="G22" s="7" t="n">
        <v>0.4178</v>
      </c>
      <c r="H22" s="7" t="n">
        <v>0.06</v>
      </c>
      <c r="I22" s="6" t="n">
        <v>600</v>
      </c>
      <c r="J22" s="7" t="n">
        <v>0.093429</v>
      </c>
      <c r="K22" s="7" t="n">
        <v>0.023357</v>
      </c>
      <c r="L22" s="8" t="n">
        <v>31.4789</v>
      </c>
      <c r="M22" s="8" t="n">
        <v>87.979</v>
      </c>
      <c r="N22" s="8" t="n">
        <v>31.4789</v>
      </c>
      <c r="O22" s="8" t="n">
        <v>0</v>
      </c>
      <c r="P22" s="8" t="n">
        <v>-31.4789</v>
      </c>
      <c r="Q22" s="8" t="n">
        <v>0.1574</v>
      </c>
      <c r="R22" s="8" t="n">
        <v>-31.6363</v>
      </c>
      <c r="S22" s="8" t="n">
        <v>1316.0923</v>
      </c>
      <c r="T22" s="8" t="n">
        <v>1347.7286</v>
      </c>
      <c r="U22" s="9" t="n">
        <v>2.35</v>
      </c>
      <c r="V22" s="9" t="n">
        <v>-3.1636</v>
      </c>
    </row>
    <row r="23">
      <c r="A23" s="2" t="n">
        <v>22</v>
      </c>
      <c r="B23" s="2" t="inlineStr">
        <is>
          <t>Will Magnus Carlsen or Teimour Radjabov win their Semifinals Series of the FTX Crypto Cup?</t>
        </is>
      </c>
      <c r="C23" s="2" t="inlineStr">
        <is>
          <t>2021-05-29 18:23:19</t>
        </is>
      </c>
      <c r="D23" s="2" t="inlineStr">
        <is>
          <t>LONG</t>
        </is>
      </c>
      <c r="E23" s="2" t="inlineStr">
        <is>
          <t>WIN</t>
        </is>
      </c>
      <c r="F23" s="3" t="n">
        <v>0.4877</v>
      </c>
      <c r="G23" s="3" t="n">
        <v>0.5477</v>
      </c>
      <c r="H23" s="3" t="n">
        <v>0.06</v>
      </c>
      <c r="I23" s="2" t="n">
        <v>599</v>
      </c>
      <c r="J23" s="3" t="n">
        <v>0.117119</v>
      </c>
      <c r="K23" s="3" t="n">
        <v>0.02928</v>
      </c>
      <c r="L23" s="4" t="n">
        <v>38.5352</v>
      </c>
      <c r="M23" s="4" t="n">
        <v>79.0141</v>
      </c>
      <c r="N23" s="4" t="n">
        <v>38.5352</v>
      </c>
      <c r="O23" s="4" t="n">
        <v>79.0141</v>
      </c>
      <c r="P23" s="4" t="n">
        <v>40.4789</v>
      </c>
      <c r="Q23" s="4" t="n">
        <v>0.1927</v>
      </c>
      <c r="R23" s="4" t="n">
        <v>40.2863</v>
      </c>
      <c r="S23" s="4" t="n">
        <v>1356.3785</v>
      </c>
      <c r="T23" s="4" t="n">
        <v>1356.3785</v>
      </c>
      <c r="U23" s="5" t="n">
        <v>0</v>
      </c>
      <c r="V23" s="5" t="n">
        <v>4.0286</v>
      </c>
    </row>
    <row r="24">
      <c r="A24" s="2" t="n">
        <v>23</v>
      </c>
      <c r="B24" s="2" t="inlineStr">
        <is>
          <t>Who will win 3rd place in the FTX Crypto Cup: Ian Nepomniachtchi vs. Teimour Radjabov?</t>
        </is>
      </c>
      <c r="C24" s="2" t="inlineStr">
        <is>
          <t>2021-06-01 16:23:42</t>
        </is>
      </c>
      <c r="D24" s="2" t="inlineStr">
        <is>
          <t>LONG</t>
        </is>
      </c>
      <c r="E24" s="2" t="inlineStr">
        <is>
          <t>WIN</t>
        </is>
      </c>
      <c r="F24" s="3" t="n">
        <v>0.452</v>
      </c>
      <c r="G24" s="3" t="n">
        <v>0.512</v>
      </c>
      <c r="H24" s="3" t="n">
        <v>0.06</v>
      </c>
      <c r="I24" s="2" t="n">
        <v>600</v>
      </c>
      <c r="J24" s="3" t="n">
        <v>0.109489</v>
      </c>
      <c r="K24" s="3" t="n">
        <v>0.027372</v>
      </c>
      <c r="L24" s="4" t="n">
        <v>37.1268</v>
      </c>
      <c r="M24" s="4" t="n">
        <v>82.13890000000001</v>
      </c>
      <c r="N24" s="4" t="n">
        <v>37.1268</v>
      </c>
      <c r="O24" s="4" t="n">
        <v>82.13890000000001</v>
      </c>
      <c r="P24" s="4" t="n">
        <v>45.0121</v>
      </c>
      <c r="Q24" s="4" t="n">
        <v>0.1856</v>
      </c>
      <c r="R24" s="4" t="n">
        <v>44.8265</v>
      </c>
      <c r="S24" s="4" t="n">
        <v>1401.205</v>
      </c>
      <c r="T24" s="4" t="n">
        <v>1401.205</v>
      </c>
      <c r="U24" s="5" t="n">
        <v>0</v>
      </c>
      <c r="V24" s="5" t="n">
        <v>4.4826</v>
      </c>
    </row>
    <row r="25">
      <c r="A25" s="2" t="n">
        <v>24</v>
      </c>
      <c r="B25" s="2" t="inlineStr">
        <is>
          <t>Will the Berlin Defense be played during the FTX Crypto Cup Finals between Magnus Carlsen and Wesley</t>
        </is>
      </c>
      <c r="C25" s="2" t="inlineStr">
        <is>
          <t>2021-05-31 19:20:54</t>
        </is>
      </c>
      <c r="D25" s="2" t="inlineStr">
        <is>
          <t>LONG</t>
        </is>
      </c>
      <c r="E25" s="2" t="inlineStr">
        <is>
          <t>WIN</t>
        </is>
      </c>
      <c r="F25" s="3" t="n">
        <v>0.6294999999999999</v>
      </c>
      <c r="G25" s="3" t="n">
        <v>0.6895</v>
      </c>
      <c r="H25" s="3" t="n">
        <v>0.06</v>
      </c>
      <c r="I25" s="2" t="n">
        <v>600</v>
      </c>
      <c r="J25" s="3" t="n">
        <v>0.161943</v>
      </c>
      <c r="K25" s="3" t="n">
        <v>0.040486</v>
      </c>
      <c r="L25" s="4" t="n">
        <v>56.7292</v>
      </c>
      <c r="M25" s="4" t="n">
        <v>90.11790000000001</v>
      </c>
      <c r="N25" s="4" t="n">
        <v>56.7292</v>
      </c>
      <c r="O25" s="4" t="n">
        <v>90.11790000000001</v>
      </c>
      <c r="P25" s="4" t="n">
        <v>33.3887</v>
      </c>
      <c r="Q25" s="4" t="n">
        <v>0.2836</v>
      </c>
      <c r="R25" s="4" t="n">
        <v>33.105</v>
      </c>
      <c r="S25" s="4" t="n">
        <v>1434.31</v>
      </c>
      <c r="T25" s="4" t="n">
        <v>1434.31</v>
      </c>
      <c r="U25" s="5" t="n">
        <v>0</v>
      </c>
      <c r="V25" s="5" t="n">
        <v>3.3105</v>
      </c>
    </row>
    <row r="26">
      <c r="A26" s="6" t="n">
        <v>25</v>
      </c>
      <c r="B26" s="6" t="inlineStr">
        <is>
          <t>What will the price of $ETH be on June 22?</t>
        </is>
      </c>
      <c r="C26" s="6" t="inlineStr">
        <is>
          <t>2021-06-22 20:11:33</t>
        </is>
      </c>
      <c r="D26" s="6" t="inlineStr">
        <is>
          <t>LONG</t>
        </is>
      </c>
      <c r="E26" s="6" t="inlineStr">
        <is>
          <t>LOSS</t>
        </is>
      </c>
      <c r="F26" s="7" t="n">
        <v>0.3109</v>
      </c>
      <c r="G26" s="7" t="n">
        <v>0.3709</v>
      </c>
      <c r="H26" s="7" t="n">
        <v>0.06</v>
      </c>
      <c r="I26" s="6" t="n">
        <v>600</v>
      </c>
      <c r="J26" s="7" t="n">
        <v>0.08706999999999999</v>
      </c>
      <c r="K26" s="7" t="n">
        <v>0.021768</v>
      </c>
      <c r="L26" s="8" t="n">
        <v>31.2221</v>
      </c>
      <c r="M26" s="8" t="n">
        <v>100.4248</v>
      </c>
      <c r="N26" s="8" t="n">
        <v>31.2221</v>
      </c>
      <c r="O26" s="8" t="n">
        <v>0</v>
      </c>
      <c r="P26" s="8" t="n">
        <v>-31.2221</v>
      </c>
      <c r="Q26" s="8" t="n">
        <v>0.1561</v>
      </c>
      <c r="R26" s="8" t="n">
        <v>-31.3782</v>
      </c>
      <c r="S26" s="8" t="n">
        <v>1402.9319</v>
      </c>
      <c r="T26" s="8" t="n">
        <v>1434.31</v>
      </c>
      <c r="U26" s="9" t="n">
        <v>2.19</v>
      </c>
      <c r="V26" s="9" t="n">
        <v>-3.1378</v>
      </c>
    </row>
    <row r="27">
      <c r="A27" s="2" t="n">
        <v>26</v>
      </c>
      <c r="B27" s="2" t="inlineStr">
        <is>
          <t>Will Surojit Chatterjee or Tekin Salimi win in their CryptoChamps Semifinals chess match?</t>
        </is>
      </c>
      <c r="C27" s="2" t="inlineStr">
        <is>
          <t>2021-06-14 15:17:32</t>
        </is>
      </c>
      <c r="D27" s="2" t="inlineStr">
        <is>
          <t>LONG</t>
        </is>
      </c>
      <c r="E27" s="2" t="inlineStr">
        <is>
          <t>WIN</t>
        </is>
      </c>
      <c r="F27" s="3" t="n">
        <v>0.5772</v>
      </c>
      <c r="G27" s="3" t="n">
        <v>0.6372</v>
      </c>
      <c r="H27" s="3" t="n">
        <v>0.06</v>
      </c>
      <c r="I27" s="2" t="n">
        <v>599</v>
      </c>
      <c r="J27" s="3" t="n">
        <v>0.141911</v>
      </c>
      <c r="K27" s="3" t="n">
        <v>0.035478</v>
      </c>
      <c r="L27" s="4" t="n">
        <v>49.7732</v>
      </c>
      <c r="M27" s="4" t="n">
        <v>86.23220000000001</v>
      </c>
      <c r="N27" s="4" t="n">
        <v>49.7732</v>
      </c>
      <c r="O27" s="4" t="n">
        <v>86.23220000000001</v>
      </c>
      <c r="P27" s="4" t="n">
        <v>36.459</v>
      </c>
      <c r="Q27" s="4" t="n">
        <v>0.2489</v>
      </c>
      <c r="R27" s="4" t="n">
        <v>36.2101</v>
      </c>
      <c r="S27" s="4" t="n">
        <v>1439.142</v>
      </c>
      <c r="T27" s="4" t="n">
        <v>1439.142</v>
      </c>
      <c r="U27" s="5" t="n">
        <v>0</v>
      </c>
      <c r="V27" s="5" t="n">
        <v>3.621</v>
      </c>
    </row>
    <row r="28">
      <c r="A28" s="6" t="n">
        <v>27</v>
      </c>
      <c r="B28" s="6" t="inlineStr">
        <is>
          <t>Will EIP-1559 be implemented on the Ethereum mainnet before August 5, 2021?</t>
        </is>
      </c>
      <c r="C28" s="6" t="inlineStr">
        <is>
          <t>2021-08-05 15:04:56</t>
        </is>
      </c>
      <c r="D28" s="6" t="inlineStr">
        <is>
          <t>LONG</t>
        </is>
      </c>
      <c r="E28" s="6" t="inlineStr">
        <is>
          <t>LOSS</t>
        </is>
      </c>
      <c r="F28" s="7" t="n">
        <v>0.3621</v>
      </c>
      <c r="G28" s="7" t="n">
        <v>0.4221</v>
      </c>
      <c r="H28" s="7" t="n">
        <v>0.06</v>
      </c>
      <c r="I28" s="6" t="n">
        <v>600</v>
      </c>
      <c r="J28" s="7" t="n">
        <v>0.094059</v>
      </c>
      <c r="K28" s="7" t="n">
        <v>0.023515</v>
      </c>
      <c r="L28" s="8" t="n">
        <v>33.8414</v>
      </c>
      <c r="M28" s="8" t="n">
        <v>93.4588</v>
      </c>
      <c r="N28" s="8" t="n">
        <v>33.8414</v>
      </c>
      <c r="O28" s="8" t="n">
        <v>0</v>
      </c>
      <c r="P28" s="8" t="n">
        <v>-33.8414</v>
      </c>
      <c r="Q28" s="8" t="n">
        <v>0.1692</v>
      </c>
      <c r="R28" s="8" t="n">
        <v>-34.0106</v>
      </c>
      <c r="S28" s="8" t="n">
        <v>1405.1313</v>
      </c>
      <c r="T28" s="8" t="n">
        <v>1439.142</v>
      </c>
      <c r="U28" s="9" t="n">
        <v>2.36</v>
      </c>
      <c r="V28" s="9" t="n">
        <v>-3.4011</v>
      </c>
    </row>
    <row r="29">
      <c r="A29" s="6" t="n">
        <v>28</v>
      </c>
      <c r="B29" s="6" t="inlineStr">
        <is>
          <t>What will the price of $ETH be on July 19?</t>
        </is>
      </c>
      <c r="C29" s="6" t="inlineStr">
        <is>
          <t>2021-07-19 22:11:13</t>
        </is>
      </c>
      <c r="D29" s="6" t="inlineStr">
        <is>
          <t>LONG</t>
        </is>
      </c>
      <c r="E29" s="6" t="inlineStr">
        <is>
          <t>LOSS</t>
        </is>
      </c>
      <c r="F29" s="7" t="n">
        <v>0.2883</v>
      </c>
      <c r="G29" s="7" t="n">
        <v>0.3483</v>
      </c>
      <c r="H29" s="7" t="n">
        <v>0.06</v>
      </c>
      <c r="I29" s="6" t="n">
        <v>600</v>
      </c>
      <c r="J29" s="7" t="n">
        <v>0.084305</v>
      </c>
      <c r="K29" s="7" t="n">
        <v>0.021076</v>
      </c>
      <c r="L29" s="8" t="n">
        <v>29.6145</v>
      </c>
      <c r="M29" s="8" t="n">
        <v>102.7213</v>
      </c>
      <c r="N29" s="8" t="n">
        <v>29.6145</v>
      </c>
      <c r="O29" s="8" t="n">
        <v>0</v>
      </c>
      <c r="P29" s="8" t="n">
        <v>-29.6145</v>
      </c>
      <c r="Q29" s="8" t="n">
        <v>0.1481</v>
      </c>
      <c r="R29" s="8" t="n">
        <v>-29.7626</v>
      </c>
      <c r="S29" s="8" t="n">
        <v>1375.3687</v>
      </c>
      <c r="T29" s="8" t="n">
        <v>1439.142</v>
      </c>
      <c r="U29" s="9" t="n">
        <v>4.43</v>
      </c>
      <c r="V29" s="9" t="n">
        <v>-2.9763</v>
      </c>
    </row>
    <row r="30">
      <c r="A30" s="2" t="n">
        <v>29</v>
      </c>
      <c r="B30" s="2" t="inlineStr">
        <is>
          <t>Will EIP-1559 be implemented live on Ethereum mainnet by 10 AM ET on August 5, 2021?</t>
        </is>
      </c>
      <c r="C30" s="2" t="inlineStr">
        <is>
          <t>2021-08-05 15:09:50</t>
        </is>
      </c>
      <c r="D30" s="2" t="inlineStr">
        <is>
          <t>LONG</t>
        </is>
      </c>
      <c r="E30" s="2" t="inlineStr">
        <is>
          <t>WIN</t>
        </is>
      </c>
      <c r="F30" s="3" t="n">
        <v>0.5603</v>
      </c>
      <c r="G30" s="3" t="n">
        <v>0.6203</v>
      </c>
      <c r="H30" s="3" t="n">
        <v>0.06</v>
      </c>
      <c r="I30" s="2" t="n">
        <v>599</v>
      </c>
      <c r="J30" s="3" t="n">
        <v>0.136457</v>
      </c>
      <c r="K30" s="3" t="n">
        <v>0.034114</v>
      </c>
      <c r="L30" s="4" t="n">
        <v>46.9193</v>
      </c>
      <c r="M30" s="4" t="n">
        <v>83.7397</v>
      </c>
      <c r="N30" s="4" t="n">
        <v>46.9193</v>
      </c>
      <c r="O30" s="4" t="n">
        <v>83.7397</v>
      </c>
      <c r="P30" s="4" t="n">
        <v>36.8203</v>
      </c>
      <c r="Q30" s="4" t="n">
        <v>0.2346</v>
      </c>
      <c r="R30" s="4" t="n">
        <v>36.5857</v>
      </c>
      <c r="S30" s="4" t="n">
        <v>1411.9545</v>
      </c>
      <c r="T30" s="4" t="n">
        <v>1439.142</v>
      </c>
      <c r="U30" s="5" t="n">
        <v>1.89</v>
      </c>
      <c r="V30" s="5" t="n">
        <v>3.6586</v>
      </c>
    </row>
    <row r="31">
      <c r="A31" s="6" t="n">
        <v>30</v>
      </c>
      <c r="B31" s="6" t="inlineStr">
        <is>
          <t>Will it be possible to shop on Amazon using Bitcoin in the US before 2022?</t>
        </is>
      </c>
      <c r="C31" s="6" t="inlineStr">
        <is>
          <t>2022-01-02 21:16:50</t>
        </is>
      </c>
      <c r="D31" s="6" t="inlineStr">
        <is>
          <t>LONG</t>
        </is>
      </c>
      <c r="E31" s="6" t="inlineStr">
        <is>
          <t>LOSS</t>
        </is>
      </c>
      <c r="F31" s="7" t="n">
        <v>0.5104</v>
      </c>
      <c r="G31" s="7" t="n">
        <v>0.5704</v>
      </c>
      <c r="H31" s="7" t="n">
        <v>0.06</v>
      </c>
      <c r="I31" s="6" t="n">
        <v>600</v>
      </c>
      <c r="J31" s="7" t="n">
        <v>0.122549</v>
      </c>
      <c r="K31" s="7" t="n">
        <v>0.030637</v>
      </c>
      <c r="L31" s="8" t="n">
        <v>43.258</v>
      </c>
      <c r="M31" s="8" t="n">
        <v>84.75320000000001</v>
      </c>
      <c r="N31" s="8" t="n">
        <v>43.258</v>
      </c>
      <c r="O31" s="8" t="n">
        <v>0</v>
      </c>
      <c r="P31" s="8" t="n">
        <v>-43.258</v>
      </c>
      <c r="Q31" s="8" t="n">
        <v>0.2163</v>
      </c>
      <c r="R31" s="8" t="n">
        <v>-43.4743</v>
      </c>
      <c r="S31" s="8" t="n">
        <v>1368.4801</v>
      </c>
      <c r="T31" s="8" t="n">
        <v>1439.142</v>
      </c>
      <c r="U31" s="9" t="n">
        <v>4.91</v>
      </c>
      <c r="V31" s="9" t="n">
        <v>-4.3474</v>
      </c>
    </row>
    <row r="32">
      <c r="A32" s="6" t="n">
        <v>31</v>
      </c>
      <c r="B32" s="6" t="inlineStr">
        <is>
          <t>Will Loomdart make it to the final table of the CryptOG Charity Poker Tournament?</t>
        </is>
      </c>
      <c r="C32" s="6" t="inlineStr">
        <is>
          <t>2021-07-29 15:43:57</t>
        </is>
      </c>
      <c r="D32" s="6" t="inlineStr">
        <is>
          <t>LONG</t>
        </is>
      </c>
      <c r="E32" s="6" t="inlineStr">
        <is>
          <t>LOSS</t>
        </is>
      </c>
      <c r="F32" s="7" t="n">
        <v>0.3432</v>
      </c>
      <c r="G32" s="7" t="n">
        <v>0.4032</v>
      </c>
      <c r="H32" s="7" t="n">
        <v>0.06</v>
      </c>
      <c r="I32" s="6" t="n">
        <v>600</v>
      </c>
      <c r="J32" s="7" t="n">
        <v>0.091352</v>
      </c>
      <c r="K32" s="7" t="n">
        <v>0.022838</v>
      </c>
      <c r="L32" s="8" t="n">
        <v>31.2533</v>
      </c>
      <c r="M32" s="8" t="n">
        <v>91.0645</v>
      </c>
      <c r="N32" s="8" t="n">
        <v>31.2533</v>
      </c>
      <c r="O32" s="8" t="n">
        <v>0</v>
      </c>
      <c r="P32" s="8" t="n">
        <v>-31.2533</v>
      </c>
      <c r="Q32" s="8" t="n">
        <v>0.1563</v>
      </c>
      <c r="R32" s="8" t="n">
        <v>-31.4096</v>
      </c>
      <c r="S32" s="8" t="n">
        <v>1337.0705</v>
      </c>
      <c r="T32" s="8" t="n">
        <v>1439.142</v>
      </c>
      <c r="U32" s="9" t="n">
        <v>7.09</v>
      </c>
      <c r="V32" s="9" t="n">
        <v>-3.141</v>
      </c>
    </row>
    <row r="33">
      <c r="A33" s="6" t="n">
        <v>32</v>
      </c>
      <c r="B33" s="6" t="inlineStr">
        <is>
          <t>Will Su Zhu make it to the final table of the CryptOG Charity Poker Tournament?</t>
        </is>
      </c>
      <c r="C33" s="6" t="inlineStr">
        <is>
          <t>2021-07-29 15:43:39</t>
        </is>
      </c>
      <c r="D33" s="6" t="inlineStr">
        <is>
          <t>LONG</t>
        </is>
      </c>
      <c r="E33" s="6" t="inlineStr">
        <is>
          <t>LOSS</t>
        </is>
      </c>
      <c r="F33" s="7" t="n">
        <v>0.3593</v>
      </c>
      <c r="G33" s="7" t="n">
        <v>0.4193</v>
      </c>
      <c r="H33" s="7" t="n">
        <v>0.06</v>
      </c>
      <c r="I33" s="6" t="n">
        <v>600</v>
      </c>
      <c r="J33" s="7" t="n">
        <v>0.093648</v>
      </c>
      <c r="K33" s="7" t="n">
        <v>0.023412</v>
      </c>
      <c r="L33" s="8" t="n">
        <v>31.3035</v>
      </c>
      <c r="M33" s="8" t="n">
        <v>87.1236</v>
      </c>
      <c r="N33" s="8" t="n">
        <v>31.3035</v>
      </c>
      <c r="O33" s="8" t="n">
        <v>0</v>
      </c>
      <c r="P33" s="8" t="n">
        <v>-31.3035</v>
      </c>
      <c r="Q33" s="8" t="n">
        <v>0.1565</v>
      </c>
      <c r="R33" s="8" t="n">
        <v>-31.46</v>
      </c>
      <c r="S33" s="8" t="n">
        <v>1305.6105</v>
      </c>
      <c r="T33" s="8" t="n">
        <v>1439.142</v>
      </c>
      <c r="U33" s="9" t="n">
        <v>9.279999999999999</v>
      </c>
      <c r="V33" s="9" t="n">
        <v>-3.146</v>
      </c>
    </row>
    <row r="34">
      <c r="A34" s="6" t="n">
        <v>33</v>
      </c>
      <c r="B34" s="6" t="inlineStr">
        <is>
          <t>Will a Crypto Twitter Fish win the CryptOG Charity Poker Tournament?</t>
        </is>
      </c>
      <c r="C34" s="6" t="inlineStr">
        <is>
          <t>2021-07-29 19:29:50</t>
        </is>
      </c>
      <c r="D34" s="6" t="inlineStr">
        <is>
          <t>LONG</t>
        </is>
      </c>
      <c r="E34" s="6" t="inlineStr">
        <is>
          <t>LOSS</t>
        </is>
      </c>
      <c r="F34" s="7" t="n">
        <v>0.4587</v>
      </c>
      <c r="G34" s="7" t="n">
        <v>0.5187</v>
      </c>
      <c r="H34" s="7" t="n">
        <v>0.06</v>
      </c>
      <c r="I34" s="6" t="n">
        <v>600</v>
      </c>
      <c r="J34" s="7" t="n">
        <v>0.110844</v>
      </c>
      <c r="K34" s="7" t="n">
        <v>0.027711</v>
      </c>
      <c r="L34" s="8" t="n">
        <v>36.1798</v>
      </c>
      <c r="M34" s="8" t="n">
        <v>78.8746</v>
      </c>
      <c r="N34" s="8" t="n">
        <v>36.1798</v>
      </c>
      <c r="O34" s="8" t="n">
        <v>0</v>
      </c>
      <c r="P34" s="8" t="n">
        <v>-36.1798</v>
      </c>
      <c r="Q34" s="8" t="n">
        <v>0.1809</v>
      </c>
      <c r="R34" s="8" t="n">
        <v>-36.3607</v>
      </c>
      <c r="S34" s="8" t="n">
        <v>1269.2498</v>
      </c>
      <c r="T34" s="8" t="n">
        <v>1439.142</v>
      </c>
      <c r="U34" s="9" t="n">
        <v>11.81</v>
      </c>
      <c r="V34" s="9" t="n">
        <v>-3.6361</v>
      </c>
    </row>
    <row r="35">
      <c r="A35" s="2" t="n">
        <v>34</v>
      </c>
      <c r="B35" s="2" t="inlineStr">
        <is>
          <t>What will the price of $ETH be on August 11?</t>
        </is>
      </c>
      <c r="C35" s="2" t="inlineStr">
        <is>
          <t>2021-08-12 23:22:46</t>
        </is>
      </c>
      <c r="D35" s="2" t="inlineStr">
        <is>
          <t>LONG</t>
        </is>
      </c>
      <c r="E35" s="2" t="inlineStr">
        <is>
          <t>WIN</t>
        </is>
      </c>
      <c r="F35" s="3" t="n">
        <v>0.6617</v>
      </c>
      <c r="G35" s="3" t="n">
        <v>0.7217</v>
      </c>
      <c r="H35" s="3" t="n">
        <v>0.06</v>
      </c>
      <c r="I35" s="2" t="n">
        <v>600</v>
      </c>
      <c r="J35" s="3" t="n">
        <v>0.177357</v>
      </c>
      <c r="K35" s="3" t="n">
        <v>0.044339</v>
      </c>
      <c r="L35" s="4" t="n">
        <v>56.2773</v>
      </c>
      <c r="M35" s="4" t="n">
        <v>85.04949999999999</v>
      </c>
      <c r="N35" s="4" t="n">
        <v>56.2773</v>
      </c>
      <c r="O35" s="4" t="n">
        <v>85.04949999999999</v>
      </c>
      <c r="P35" s="4" t="n">
        <v>28.7723</v>
      </c>
      <c r="Q35" s="4" t="n">
        <v>0.2814</v>
      </c>
      <c r="R35" s="4" t="n">
        <v>28.4909</v>
      </c>
      <c r="S35" s="4" t="n">
        <v>1297.7407</v>
      </c>
      <c r="T35" s="4" t="n">
        <v>1439.142</v>
      </c>
      <c r="U35" s="5" t="n">
        <v>9.83</v>
      </c>
      <c r="V35" s="5" t="n">
        <v>2.8491</v>
      </c>
    </row>
    <row r="36">
      <c r="A36" s="2" t="n">
        <v>35</v>
      </c>
      <c r="B36" s="2" t="inlineStr">
        <is>
          <t>Will EIP-1559 be implemented live on Ethereum mainnet by 8:45 AM ET on August 5, 2021?</t>
        </is>
      </c>
      <c r="C36" s="2" t="inlineStr">
        <is>
          <t>2021-08-05 15:08:02</t>
        </is>
      </c>
      <c r="D36" s="2" t="inlineStr">
        <is>
          <t>LONG</t>
        </is>
      </c>
      <c r="E36" s="2" t="inlineStr">
        <is>
          <t>WIN</t>
        </is>
      </c>
      <c r="F36" s="3" t="n">
        <v>0.6294</v>
      </c>
      <c r="G36" s="3" t="n">
        <v>0.6894</v>
      </c>
      <c r="H36" s="3" t="n">
        <v>0.06</v>
      </c>
      <c r="I36" s="2" t="n">
        <v>600</v>
      </c>
      <c r="J36" s="3" t="n">
        <v>0.1619</v>
      </c>
      <c r="K36" s="3" t="n">
        <v>0.040475</v>
      </c>
      <c r="L36" s="4" t="n">
        <v>52.5261</v>
      </c>
      <c r="M36" s="4" t="n">
        <v>83.4542</v>
      </c>
      <c r="N36" s="4" t="n">
        <v>52.5261</v>
      </c>
      <c r="O36" s="4" t="n">
        <v>83.4542</v>
      </c>
      <c r="P36" s="4" t="n">
        <v>30.9281</v>
      </c>
      <c r="Q36" s="4" t="n">
        <v>0.2626</v>
      </c>
      <c r="R36" s="4" t="n">
        <v>30.6655</v>
      </c>
      <c r="S36" s="4" t="n">
        <v>1328.4062</v>
      </c>
      <c r="T36" s="4" t="n">
        <v>1439.142</v>
      </c>
      <c r="U36" s="5" t="n">
        <v>7.69</v>
      </c>
      <c r="V36" s="5" t="n">
        <v>3.0665</v>
      </c>
    </row>
    <row r="37">
      <c r="A37" s="2" t="n">
        <v>36</v>
      </c>
      <c r="B37" s="2" t="inlineStr">
        <is>
          <t>How much ETH will be burned one month after EIP-1559 was implemented?</t>
        </is>
      </c>
      <c r="C37" s="2" t="inlineStr">
        <is>
          <t>2021-09-07 19:10:09</t>
        </is>
      </c>
      <c r="D37" s="2" t="inlineStr">
        <is>
          <t>LONG</t>
        </is>
      </c>
      <c r="E37" s="2" t="inlineStr">
        <is>
          <t>WIN</t>
        </is>
      </c>
      <c r="F37" s="3" t="n">
        <v>0.5597</v>
      </c>
      <c r="G37" s="3" t="n">
        <v>0.6197</v>
      </c>
      <c r="H37" s="3" t="n">
        <v>0.06</v>
      </c>
      <c r="I37" s="2" t="n">
        <v>600</v>
      </c>
      <c r="J37" s="3" t="n">
        <v>0.136271</v>
      </c>
      <c r="K37" s="3" t="n">
        <v>0.034068</v>
      </c>
      <c r="L37" s="4" t="n">
        <v>45.2561</v>
      </c>
      <c r="M37" s="4" t="n">
        <v>80.8579</v>
      </c>
      <c r="N37" s="4" t="n">
        <v>45.2561</v>
      </c>
      <c r="O37" s="4" t="n">
        <v>80.8579</v>
      </c>
      <c r="P37" s="4" t="n">
        <v>35.6017</v>
      </c>
      <c r="Q37" s="4" t="n">
        <v>0.2263</v>
      </c>
      <c r="R37" s="4" t="n">
        <v>35.3754</v>
      </c>
      <c r="S37" s="4" t="n">
        <v>1363.7816</v>
      </c>
      <c r="T37" s="4" t="n">
        <v>1439.142</v>
      </c>
      <c r="U37" s="5" t="n">
        <v>5.24</v>
      </c>
      <c r="V37" s="5" t="n">
        <v>3.5375</v>
      </c>
    </row>
    <row r="38">
      <c r="A38" s="6" t="n">
        <v>37</v>
      </c>
      <c r="B38" s="6" t="inlineStr">
        <is>
          <t>Will Vitalik Buterin have a CryptoPunk Twitter profile picture before September 1, 2021?</t>
        </is>
      </c>
      <c r="C38" s="6" t="inlineStr">
        <is>
          <t>2021-09-01 19:09:44</t>
        </is>
      </c>
      <c r="D38" s="6" t="inlineStr">
        <is>
          <t>LONG</t>
        </is>
      </c>
      <c r="E38" s="6" t="inlineStr">
        <is>
          <t>LOSS</t>
        </is>
      </c>
      <c r="F38" s="7" t="n">
        <v>0.4998</v>
      </c>
      <c r="G38" s="7" t="n">
        <v>0.5598</v>
      </c>
      <c r="H38" s="7" t="n">
        <v>0.06</v>
      </c>
      <c r="I38" s="6" t="n">
        <v>599</v>
      </c>
      <c r="J38" s="7" t="n">
        <v>0.119952</v>
      </c>
      <c r="K38" s="7" t="n">
        <v>0.029988</v>
      </c>
      <c r="L38" s="8" t="n">
        <v>40.8971</v>
      </c>
      <c r="M38" s="8" t="n">
        <v>81.82689999999999</v>
      </c>
      <c r="N38" s="8" t="n">
        <v>40.8971</v>
      </c>
      <c r="O38" s="8" t="n">
        <v>0</v>
      </c>
      <c r="P38" s="8" t="n">
        <v>-40.8971</v>
      </c>
      <c r="Q38" s="8" t="n">
        <v>0.2045</v>
      </c>
      <c r="R38" s="8" t="n">
        <v>-41.1016</v>
      </c>
      <c r="S38" s="8" t="n">
        <v>1322.68</v>
      </c>
      <c r="T38" s="8" t="n">
        <v>1439.142</v>
      </c>
      <c r="U38" s="9" t="n">
        <v>8.09</v>
      </c>
      <c r="V38" s="9" t="n">
        <v>-4.1102</v>
      </c>
    </row>
    <row r="39">
      <c r="A39" s="2" t="n">
        <v>38</v>
      </c>
      <c r="B39" s="2" t="inlineStr">
        <is>
          <t>Will Theranos executive Elizabeth Holmes be found guilty of fraud?</t>
        </is>
      </c>
      <c r="C39" s="2" t="inlineStr">
        <is>
          <t>2022-01-04 00:22:03</t>
        </is>
      </c>
      <c r="D39" s="2" t="inlineStr">
        <is>
          <t>LONG</t>
        </is>
      </c>
      <c r="E39" s="2" t="inlineStr">
        <is>
          <t>WIN</t>
        </is>
      </c>
      <c r="F39" s="3" t="n">
        <v>0.4743</v>
      </c>
      <c r="G39" s="3" t="n">
        <v>0.5343</v>
      </c>
      <c r="H39" s="3" t="n">
        <v>0.06</v>
      </c>
      <c r="I39" s="2" t="n">
        <v>600</v>
      </c>
      <c r="J39" s="3" t="n">
        <v>0.114134</v>
      </c>
      <c r="K39" s="3" t="n">
        <v>0.028533</v>
      </c>
      <c r="L39" s="4" t="n">
        <v>37.74</v>
      </c>
      <c r="M39" s="4" t="n">
        <v>79.56999999999999</v>
      </c>
      <c r="N39" s="4" t="n">
        <v>37.74</v>
      </c>
      <c r="O39" s="4" t="n">
        <v>79.56999999999999</v>
      </c>
      <c r="P39" s="4" t="n">
        <v>41.8299</v>
      </c>
      <c r="Q39" s="4" t="n">
        <v>0.1887</v>
      </c>
      <c r="R39" s="4" t="n">
        <v>41.6412</v>
      </c>
      <c r="S39" s="4" t="n">
        <v>1364.3213</v>
      </c>
      <c r="T39" s="4" t="n">
        <v>1439.142</v>
      </c>
      <c r="U39" s="5" t="n">
        <v>5.2</v>
      </c>
      <c r="V39" s="5" t="n">
        <v>4.1641</v>
      </c>
    </row>
    <row r="40">
      <c r="A40" s="6" t="n">
        <v>39</v>
      </c>
      <c r="B40" s="6" t="inlineStr">
        <is>
          <t>What will the ETH floor price of CryptoPunks be on September 21, 2021?</t>
        </is>
      </c>
      <c r="C40" s="6" t="inlineStr">
        <is>
          <t>2021-09-21 23:13:39</t>
        </is>
      </c>
      <c r="D40" s="6" t="inlineStr">
        <is>
          <t>LONG</t>
        </is>
      </c>
      <c r="E40" s="6" t="inlineStr">
        <is>
          <t>LOSS</t>
        </is>
      </c>
      <c r="F40" s="7" t="n">
        <v>0.4047</v>
      </c>
      <c r="G40" s="7" t="n">
        <v>0.4647</v>
      </c>
      <c r="H40" s="7" t="n">
        <v>0.06</v>
      </c>
      <c r="I40" s="6" t="n">
        <v>600</v>
      </c>
      <c r="J40" s="7" t="n">
        <v>0.10079</v>
      </c>
      <c r="K40" s="7" t="n">
        <v>0.025197</v>
      </c>
      <c r="L40" s="8" t="n">
        <v>34.3768</v>
      </c>
      <c r="M40" s="8" t="n">
        <v>84.9439</v>
      </c>
      <c r="N40" s="8" t="n">
        <v>34.3768</v>
      </c>
      <c r="O40" s="8" t="n">
        <v>0</v>
      </c>
      <c r="P40" s="8" t="n">
        <v>-34.3768</v>
      </c>
      <c r="Q40" s="8" t="n">
        <v>0.1719</v>
      </c>
      <c r="R40" s="8" t="n">
        <v>-34.5487</v>
      </c>
      <c r="S40" s="8" t="n">
        <v>1329.7726</v>
      </c>
      <c r="T40" s="8" t="n">
        <v>1439.142</v>
      </c>
      <c r="U40" s="9" t="n">
        <v>7.6</v>
      </c>
      <c r="V40" s="9" t="n">
        <v>-3.4549</v>
      </c>
    </row>
    <row r="41">
      <c r="A41" s="6" t="n">
        <v>40</v>
      </c>
      <c r="B41" s="6" t="inlineStr">
        <is>
          <t>What will the ETH floor price of Loot (for Adventurers) be on September 21, 2021?</t>
        </is>
      </c>
      <c r="C41" s="6" t="inlineStr">
        <is>
          <t>2021-09-21 22:11:26</t>
        </is>
      </c>
      <c r="D41" s="6" t="inlineStr">
        <is>
          <t>LONG</t>
        </is>
      </c>
      <c r="E41" s="6" t="inlineStr">
        <is>
          <t>LOSS</t>
        </is>
      </c>
      <c r="F41" s="7" t="n">
        <v>0.3235</v>
      </c>
      <c r="G41" s="7" t="n">
        <v>0.3835</v>
      </c>
      <c r="H41" s="7" t="n">
        <v>0.06</v>
      </c>
      <c r="I41" s="6" t="n">
        <v>600</v>
      </c>
      <c r="J41" s="7" t="n">
        <v>0.08869199999999999</v>
      </c>
      <c r="K41" s="7" t="n">
        <v>0.022173</v>
      </c>
      <c r="L41" s="8" t="n">
        <v>29.485</v>
      </c>
      <c r="M41" s="8" t="n">
        <v>91.1439</v>
      </c>
      <c r="N41" s="8" t="n">
        <v>29.485</v>
      </c>
      <c r="O41" s="8" t="n">
        <v>0</v>
      </c>
      <c r="P41" s="8" t="n">
        <v>-29.485</v>
      </c>
      <c r="Q41" s="8" t="n">
        <v>0.1474</v>
      </c>
      <c r="R41" s="8" t="n">
        <v>-29.6325</v>
      </c>
      <c r="S41" s="8" t="n">
        <v>1300.1401</v>
      </c>
      <c r="T41" s="8" t="n">
        <v>1439.142</v>
      </c>
      <c r="U41" s="9" t="n">
        <v>9.66</v>
      </c>
      <c r="V41" s="9" t="n">
        <v>-2.9632</v>
      </c>
    </row>
    <row r="42">
      <c r="A42" s="6" t="n">
        <v>41</v>
      </c>
      <c r="B42" s="6" t="inlineStr">
        <is>
          <t>What will the ETH floor price of Bored Apes be on October 1, 2021?</t>
        </is>
      </c>
      <c r="C42" s="6" t="inlineStr">
        <is>
          <t>2021-10-01 18:43:57</t>
        </is>
      </c>
      <c r="D42" s="6" t="inlineStr">
        <is>
          <t>LONG</t>
        </is>
      </c>
      <c r="E42" s="6" t="inlineStr">
        <is>
          <t>LOSS</t>
        </is>
      </c>
      <c r="F42" s="7" t="n">
        <v>0.3211</v>
      </c>
      <c r="G42" s="7" t="n">
        <v>0.3811</v>
      </c>
      <c r="H42" s="7" t="n">
        <v>0.06</v>
      </c>
      <c r="I42" s="6" t="n">
        <v>600</v>
      </c>
      <c r="J42" s="7" t="n">
        <v>0.088378</v>
      </c>
      <c r="K42" s="7" t="n">
        <v>0.022095</v>
      </c>
      <c r="L42" s="8" t="n">
        <v>28.7266</v>
      </c>
      <c r="M42" s="8" t="n">
        <v>89.4631</v>
      </c>
      <c r="N42" s="8" t="n">
        <v>28.7266</v>
      </c>
      <c r="O42" s="8" t="n">
        <v>0</v>
      </c>
      <c r="P42" s="8" t="n">
        <v>-28.7266</v>
      </c>
      <c r="Q42" s="8" t="n">
        <v>0.1436</v>
      </c>
      <c r="R42" s="8" t="n">
        <v>-28.8702</v>
      </c>
      <c r="S42" s="8" t="n">
        <v>1271.2699</v>
      </c>
      <c r="T42" s="8" t="n">
        <v>1439.142</v>
      </c>
      <c r="U42" s="9" t="n">
        <v>11.66</v>
      </c>
      <c r="V42" s="9" t="n">
        <v>-2.887</v>
      </c>
    </row>
    <row r="43">
      <c r="A43" s="2" t="n">
        <v>42</v>
      </c>
      <c r="B43" s="2" t="inlineStr">
        <is>
          <t>What will the ETH floor price of CryptoPunks be on October 1, 2021?</t>
        </is>
      </c>
      <c r="C43" s="2" t="inlineStr">
        <is>
          <t>2021-10-01 18:44:11</t>
        </is>
      </c>
      <c r="D43" s="2" t="inlineStr">
        <is>
          <t>LONG</t>
        </is>
      </c>
      <c r="E43" s="2" t="inlineStr">
        <is>
          <t>WIN</t>
        </is>
      </c>
      <c r="F43" s="3" t="n">
        <v>0.638</v>
      </c>
      <c r="G43" s="3" t="n">
        <v>0.698</v>
      </c>
      <c r="H43" s="3" t="n">
        <v>0.06</v>
      </c>
      <c r="I43" s="2" t="n">
        <v>599</v>
      </c>
      <c r="J43" s="3" t="n">
        <v>0.165746</v>
      </c>
      <c r="K43" s="3" t="n">
        <v>0.041436</v>
      </c>
      <c r="L43" s="4" t="n">
        <v>52.6763</v>
      </c>
      <c r="M43" s="4" t="n">
        <v>82.56480000000001</v>
      </c>
      <c r="N43" s="4" t="n">
        <v>52.6763</v>
      </c>
      <c r="O43" s="4" t="n">
        <v>82.56480000000001</v>
      </c>
      <c r="P43" s="4" t="n">
        <v>29.8885</v>
      </c>
      <c r="Q43" s="4" t="n">
        <v>0.2634</v>
      </c>
      <c r="R43" s="4" t="n">
        <v>29.6251</v>
      </c>
      <c r="S43" s="4" t="n">
        <v>1300.8949</v>
      </c>
      <c r="T43" s="4" t="n">
        <v>1439.142</v>
      </c>
      <c r="U43" s="5" t="n">
        <v>9.609999999999999</v>
      </c>
      <c r="V43" s="5" t="n">
        <v>2.9625</v>
      </c>
    </row>
    <row r="44">
      <c r="A44" s="2" t="n">
        <v>43</v>
      </c>
      <c r="B44" s="2" t="inlineStr">
        <is>
          <t>Will Bitcoin reach an all-time high by November 15th?</t>
        </is>
      </c>
      <c r="C44" s="2" t="inlineStr">
        <is>
          <t>2021-10-20 16:37:00</t>
        </is>
      </c>
      <c r="D44" s="2" t="inlineStr">
        <is>
          <t>LONG</t>
        </is>
      </c>
      <c r="E44" s="2" t="inlineStr">
        <is>
          <t>WIN</t>
        </is>
      </c>
      <c r="F44" s="3" t="n">
        <v>0.5477</v>
      </c>
      <c r="G44" s="3" t="n">
        <v>0.6077</v>
      </c>
      <c r="H44" s="3" t="n">
        <v>0.06</v>
      </c>
      <c r="I44" s="2" t="n">
        <v>600</v>
      </c>
      <c r="J44" s="3" t="n">
        <v>0.132655</v>
      </c>
      <c r="K44" s="3" t="n">
        <v>0.033164</v>
      </c>
      <c r="L44" s="4" t="n">
        <v>43.1429</v>
      </c>
      <c r="M44" s="4" t="n">
        <v>78.771</v>
      </c>
      <c r="N44" s="4" t="n">
        <v>43.1429</v>
      </c>
      <c r="O44" s="4" t="n">
        <v>78.771</v>
      </c>
      <c r="P44" s="4" t="n">
        <v>35.6281</v>
      </c>
      <c r="Q44" s="4" t="n">
        <v>0.2157</v>
      </c>
      <c r="R44" s="4" t="n">
        <v>35.4124</v>
      </c>
      <c r="S44" s="4" t="n">
        <v>1336.3074</v>
      </c>
      <c r="T44" s="4" t="n">
        <v>1439.142</v>
      </c>
      <c r="U44" s="5" t="n">
        <v>7.15</v>
      </c>
      <c r="V44" s="5" t="n">
        <v>3.5412</v>
      </c>
    </row>
    <row r="45">
      <c r="A45" s="2" t="n">
        <v>44</v>
      </c>
      <c r="B45" s="2" t="inlineStr">
        <is>
          <t>Will Rookiexbt or Loomdart win the Amir Khan Crypto Fight Night?</t>
        </is>
      </c>
      <c r="C45" s="2" t="inlineStr">
        <is>
          <t>2021-10-16 19:46:29</t>
        </is>
      </c>
      <c r="D45" s="2" t="inlineStr">
        <is>
          <t>LONG</t>
        </is>
      </c>
      <c r="E45" s="2" t="inlineStr">
        <is>
          <t>WIN</t>
        </is>
      </c>
      <c r="F45" s="3" t="n">
        <v>0.4737</v>
      </c>
      <c r="G45" s="3" t="n">
        <v>0.5337</v>
      </c>
      <c r="H45" s="3" t="n">
        <v>0.06</v>
      </c>
      <c r="I45" s="2" t="n">
        <v>599</v>
      </c>
      <c r="J45" s="3" t="n">
        <v>0.114003</v>
      </c>
      <c r="K45" s="3" t="n">
        <v>0.028501</v>
      </c>
      <c r="L45" s="4" t="n">
        <v>38.0861</v>
      </c>
      <c r="M45" s="4" t="n">
        <v>80.40130000000001</v>
      </c>
      <c r="N45" s="4" t="n">
        <v>38.0861</v>
      </c>
      <c r="O45" s="4" t="n">
        <v>80.40130000000001</v>
      </c>
      <c r="P45" s="4" t="n">
        <v>42.3152</v>
      </c>
      <c r="Q45" s="4" t="n">
        <v>0.1904</v>
      </c>
      <c r="R45" s="4" t="n">
        <v>42.1248</v>
      </c>
      <c r="S45" s="4" t="n">
        <v>1378.4321</v>
      </c>
      <c r="T45" s="4" t="n">
        <v>1439.142</v>
      </c>
      <c r="U45" s="5" t="n">
        <v>4.22</v>
      </c>
      <c r="V45" s="5" t="n">
        <v>4.2125</v>
      </c>
    </row>
    <row r="46">
      <c r="A46" s="6" t="n">
        <v>45</v>
      </c>
      <c r="B46" s="6" t="inlineStr">
        <is>
          <t>Will @richerd sell Cryptopunk 6046 for 2500 ETH or more by October 22nd?</t>
        </is>
      </c>
      <c r="C46" s="6" t="inlineStr">
        <is>
          <t>2021-10-22 18:36:21</t>
        </is>
      </c>
      <c r="D46" s="6" t="inlineStr">
        <is>
          <t>LONG</t>
        </is>
      </c>
      <c r="E46" s="6" t="inlineStr">
        <is>
          <t>LOSS</t>
        </is>
      </c>
      <c r="F46" s="7" t="n">
        <v>0.3119</v>
      </c>
      <c r="G46" s="7" t="n">
        <v>0.3719</v>
      </c>
      <c r="H46" s="7" t="n">
        <v>0.06</v>
      </c>
      <c r="I46" s="6" t="n">
        <v>600</v>
      </c>
      <c r="J46" s="7" t="n">
        <v>0.087197</v>
      </c>
      <c r="K46" s="7" t="n">
        <v>0.021799</v>
      </c>
      <c r="L46" s="8" t="n">
        <v>30.0484</v>
      </c>
      <c r="M46" s="8" t="n">
        <v>96.34</v>
      </c>
      <c r="N46" s="8" t="n">
        <v>30.0484</v>
      </c>
      <c r="O46" s="8" t="n">
        <v>0</v>
      </c>
      <c r="P46" s="8" t="n">
        <v>-30.0484</v>
      </c>
      <c r="Q46" s="8" t="n">
        <v>0.1502</v>
      </c>
      <c r="R46" s="8" t="n">
        <v>-30.1987</v>
      </c>
      <c r="S46" s="8" t="n">
        <v>1348.2334</v>
      </c>
      <c r="T46" s="8" t="n">
        <v>1439.142</v>
      </c>
      <c r="U46" s="9" t="n">
        <v>6.32</v>
      </c>
      <c r="V46" s="9" t="n">
        <v>-3.0199</v>
      </c>
    </row>
    <row r="47">
      <c r="A47" s="2" t="n">
        <v>46</v>
      </c>
      <c r="B47" s="2" t="inlineStr">
        <is>
          <t>Which cryptocurrency will have higher market cap on November 4th: $DOGE or $SHIB?</t>
        </is>
      </c>
      <c r="C47" s="2" t="inlineStr">
        <is>
          <t>2021-11-05 02:34:29</t>
        </is>
      </c>
      <c r="D47" s="2" t="inlineStr">
        <is>
          <t>LONG</t>
        </is>
      </c>
      <c r="E47" s="2" t="inlineStr">
        <is>
          <t>WIN</t>
        </is>
      </c>
      <c r="F47" s="3" t="n">
        <v>0.6953</v>
      </c>
      <c r="G47" s="3" t="n">
        <v>0.7553</v>
      </c>
      <c r="H47" s="3" t="n">
        <v>0.06</v>
      </c>
      <c r="I47" s="2" t="n">
        <v>599</v>
      </c>
      <c r="J47" s="3" t="n">
        <v>0.196915</v>
      </c>
      <c r="K47" s="3" t="n">
        <v>0.049229</v>
      </c>
      <c r="L47" s="4" t="n">
        <v>66.37220000000001</v>
      </c>
      <c r="M47" s="4" t="n">
        <v>95.45829999999999</v>
      </c>
      <c r="N47" s="4" t="n">
        <v>66.37220000000001</v>
      </c>
      <c r="O47" s="4" t="n">
        <v>95.45829999999999</v>
      </c>
      <c r="P47" s="4" t="n">
        <v>29.0862</v>
      </c>
      <c r="Q47" s="4" t="n">
        <v>0.3319</v>
      </c>
      <c r="R47" s="4" t="n">
        <v>28.7543</v>
      </c>
      <c r="S47" s="4" t="n">
        <v>1376.9877</v>
      </c>
      <c r="T47" s="4" t="n">
        <v>1439.142</v>
      </c>
      <c r="U47" s="5" t="n">
        <v>4.32</v>
      </c>
      <c r="V47" s="5" t="n">
        <v>2.8754</v>
      </c>
    </row>
    <row r="48">
      <c r="A48" s="6" t="n">
        <v>47</v>
      </c>
      <c r="B48" s="6" t="inlineStr">
        <is>
          <t>Will Bitcoin ($BTC) price reach $70,000 before November 15, 2021?</t>
        </is>
      </c>
      <c r="C48" s="6" t="inlineStr">
        <is>
          <t>2021-11-16 10:06:32</t>
        </is>
      </c>
      <c r="D48" s="6" t="inlineStr">
        <is>
          <t>LONG</t>
        </is>
      </c>
      <c r="E48" s="6" t="inlineStr">
        <is>
          <t>LOSS</t>
        </is>
      </c>
      <c r="F48" s="7" t="n">
        <v>0.4689</v>
      </c>
      <c r="G48" s="7" t="n">
        <v>0.5289</v>
      </c>
      <c r="H48" s="7" t="n">
        <v>0.06</v>
      </c>
      <c r="I48" s="6" t="n">
        <v>600</v>
      </c>
      <c r="J48" s="7" t="n">
        <v>0.112973</v>
      </c>
      <c r="K48" s="7" t="n">
        <v>0.028243</v>
      </c>
      <c r="L48" s="8" t="n">
        <v>38.8903</v>
      </c>
      <c r="M48" s="8" t="n">
        <v>82.93940000000001</v>
      </c>
      <c r="N48" s="8" t="n">
        <v>38.8903</v>
      </c>
      <c r="O48" s="8" t="n">
        <v>0</v>
      </c>
      <c r="P48" s="8" t="n">
        <v>-38.8903</v>
      </c>
      <c r="Q48" s="8" t="n">
        <v>0.1945</v>
      </c>
      <c r="R48" s="8" t="n">
        <v>-39.0847</v>
      </c>
      <c r="S48" s="8" t="n">
        <v>1337.903</v>
      </c>
      <c r="T48" s="8" t="n">
        <v>1439.142</v>
      </c>
      <c r="U48" s="9" t="n">
        <v>7.03</v>
      </c>
      <c r="V48" s="9" t="n">
        <v>-3.9085</v>
      </c>
    </row>
    <row r="49">
      <c r="A49" s="2" t="n">
        <v>48</v>
      </c>
      <c r="B49" s="2" t="inlineStr">
        <is>
          <t>Who will win UFC 268: Gaethje vs Chandler?</t>
        </is>
      </c>
      <c r="C49" s="2" t="inlineStr">
        <is>
          <t>2021-11-08 21:06:37</t>
        </is>
      </c>
      <c r="D49" s="2" t="inlineStr">
        <is>
          <t>LONG</t>
        </is>
      </c>
      <c r="E49" s="2" t="inlineStr">
        <is>
          <t>WIN</t>
        </is>
      </c>
      <c r="F49" s="3" t="n">
        <v>0.7117</v>
      </c>
      <c r="G49" s="3" t="n">
        <v>0.7717000000000001</v>
      </c>
      <c r="H49" s="3" t="n">
        <v>0.06</v>
      </c>
      <c r="I49" s="2" t="n">
        <v>600</v>
      </c>
      <c r="J49" s="3" t="n">
        <v>0.208117</v>
      </c>
      <c r="K49" s="3" t="n">
        <v>0.052029</v>
      </c>
      <c r="L49" s="4" t="n">
        <v>69.60980000000001</v>
      </c>
      <c r="M49" s="4" t="n">
        <v>97.8077</v>
      </c>
      <c r="N49" s="4" t="n">
        <v>69.60980000000001</v>
      </c>
      <c r="O49" s="4" t="n">
        <v>97.8077</v>
      </c>
      <c r="P49" s="4" t="n">
        <v>28.198</v>
      </c>
      <c r="Q49" s="4" t="n">
        <v>0.348</v>
      </c>
      <c r="R49" s="4" t="n">
        <v>27.8499</v>
      </c>
      <c r="S49" s="4" t="n">
        <v>1365.7529</v>
      </c>
      <c r="T49" s="4" t="n">
        <v>1439.142</v>
      </c>
      <c r="U49" s="5" t="n">
        <v>5.1</v>
      </c>
      <c r="V49" s="5" t="n">
        <v>2.785</v>
      </c>
    </row>
    <row r="50">
      <c r="A50" s="6" t="n">
        <v>49</v>
      </c>
      <c r="B50" s="6" t="inlineStr">
        <is>
          <t>Will the floor price of CryptoPunks be above 100 ETH on November 15?</t>
        </is>
      </c>
      <c r="C50" s="6" t="inlineStr">
        <is>
          <t>2021-11-16 10:23:56</t>
        </is>
      </c>
      <c r="D50" s="6" t="inlineStr">
        <is>
          <t>LONG</t>
        </is>
      </c>
      <c r="E50" s="6" t="inlineStr">
        <is>
          <t>LOSS</t>
        </is>
      </c>
      <c r="F50" s="7" t="n">
        <v>0.4903</v>
      </c>
      <c r="G50" s="7" t="n">
        <v>0.5503</v>
      </c>
      <c r="H50" s="7" t="n">
        <v>0.06</v>
      </c>
      <c r="I50" s="6" t="n">
        <v>600</v>
      </c>
      <c r="J50" s="7" t="n">
        <v>0.117716</v>
      </c>
      <c r="K50" s="7" t="n">
        <v>0.029429</v>
      </c>
      <c r="L50" s="8" t="n">
        <v>40.1927</v>
      </c>
      <c r="M50" s="8" t="n">
        <v>81.97580000000001</v>
      </c>
      <c r="N50" s="8" t="n">
        <v>40.1927</v>
      </c>
      <c r="O50" s="8" t="n">
        <v>0</v>
      </c>
      <c r="P50" s="8" t="n">
        <v>-40.1927</v>
      </c>
      <c r="Q50" s="8" t="n">
        <v>0.201</v>
      </c>
      <c r="R50" s="8" t="n">
        <v>-40.3937</v>
      </c>
      <c r="S50" s="8" t="n">
        <v>1325.3592</v>
      </c>
      <c r="T50" s="8" t="n">
        <v>1439.142</v>
      </c>
      <c r="U50" s="9" t="n">
        <v>7.91</v>
      </c>
      <c r="V50" s="9" t="n">
        <v>-4.0394</v>
      </c>
    </row>
    <row r="51">
      <c r="A51" s="2" t="n">
        <v>50</v>
      </c>
      <c r="B51" s="2" t="inlineStr">
        <is>
          <t>Which cryptocurrency will have higher market cap on November 9th: Cardano ($ADA) or Solana ($SOL)?</t>
        </is>
      </c>
      <c r="C51" s="2" t="inlineStr">
        <is>
          <t>2021-11-10 13:45:35</t>
        </is>
      </c>
      <c r="D51" s="2" t="inlineStr">
        <is>
          <t>LONG</t>
        </is>
      </c>
      <c r="E51" s="2" t="inlineStr">
        <is>
          <t>WIN</t>
        </is>
      </c>
      <c r="F51" s="3" t="n">
        <v>0.6435999999999999</v>
      </c>
      <c r="G51" s="3" t="n">
        <v>0.7036</v>
      </c>
      <c r="H51" s="3" t="n">
        <v>0.06</v>
      </c>
      <c r="I51" s="2" t="n">
        <v>600</v>
      </c>
      <c r="J51" s="3" t="n">
        <v>0.16835</v>
      </c>
      <c r="K51" s="3" t="n">
        <v>0.042088</v>
      </c>
      <c r="L51" s="4" t="n">
        <v>55.7817</v>
      </c>
      <c r="M51" s="4" t="n">
        <v>86.67140000000001</v>
      </c>
      <c r="N51" s="4" t="n">
        <v>55.7817</v>
      </c>
      <c r="O51" s="4" t="n">
        <v>86.67140000000001</v>
      </c>
      <c r="P51" s="4" t="n">
        <v>30.8897</v>
      </c>
      <c r="Q51" s="4" t="n">
        <v>0.2789</v>
      </c>
      <c r="R51" s="4" t="n">
        <v>30.6108</v>
      </c>
      <c r="S51" s="4" t="n">
        <v>1355.97</v>
      </c>
      <c r="T51" s="4" t="n">
        <v>1439.142</v>
      </c>
      <c r="U51" s="5" t="n">
        <v>5.78</v>
      </c>
      <c r="V51" s="5" t="n">
        <v>3.0611</v>
      </c>
    </row>
    <row r="52">
      <c r="A52" s="6" t="n">
        <v>51</v>
      </c>
      <c r="B52" s="6" t="inlineStr">
        <is>
          <t>Will Ethereum reach $5000 by November 17th?</t>
        </is>
      </c>
      <c r="C52" s="6" t="inlineStr">
        <is>
          <t>2021-11-18 13:41:44</t>
        </is>
      </c>
      <c r="D52" s="6" t="inlineStr">
        <is>
          <t>LONG</t>
        </is>
      </c>
      <c r="E52" s="6" t="inlineStr">
        <is>
          <t>LOSS</t>
        </is>
      </c>
      <c r="F52" s="7" t="n">
        <v>0.306</v>
      </c>
      <c r="G52" s="7" t="n">
        <v>0.366</v>
      </c>
      <c r="H52" s="7" t="n">
        <v>0.06</v>
      </c>
      <c r="I52" s="6" t="n">
        <v>600</v>
      </c>
      <c r="J52" s="7" t="n">
        <v>0.086455</v>
      </c>
      <c r="K52" s="7" t="n">
        <v>0.021614</v>
      </c>
      <c r="L52" s="8" t="n">
        <v>29.3079</v>
      </c>
      <c r="M52" s="8" t="n">
        <v>95.77760000000001</v>
      </c>
      <c r="N52" s="8" t="n">
        <v>29.3079</v>
      </c>
      <c r="O52" s="8" t="n">
        <v>0</v>
      </c>
      <c r="P52" s="8" t="n">
        <v>-29.3079</v>
      </c>
      <c r="Q52" s="8" t="n">
        <v>0.1465</v>
      </c>
      <c r="R52" s="8" t="n">
        <v>-29.4545</v>
      </c>
      <c r="S52" s="8" t="n">
        <v>1326.5155</v>
      </c>
      <c r="T52" s="8" t="n">
        <v>1439.142</v>
      </c>
      <c r="U52" s="9" t="n">
        <v>7.83</v>
      </c>
      <c r="V52" s="9" t="n">
        <v>-2.9454</v>
      </c>
    </row>
    <row r="53">
      <c r="A53" s="2" t="n">
        <v>52</v>
      </c>
      <c r="B53" s="2" t="inlineStr">
        <is>
          <t>Will the floor price of CryptoPunks be above 85 ETH on November 15?</t>
        </is>
      </c>
      <c r="C53" s="2" t="inlineStr">
        <is>
          <t>2021-11-16 10:07:38</t>
        </is>
      </c>
      <c r="D53" s="2" t="inlineStr">
        <is>
          <t>LONG</t>
        </is>
      </c>
      <c r="E53" s="2" t="inlineStr">
        <is>
          <t>WIN</t>
        </is>
      </c>
      <c r="F53" s="3" t="n">
        <v>0.6937</v>
      </c>
      <c r="G53" s="3" t="n">
        <v>0.7537</v>
      </c>
      <c r="H53" s="3" t="n">
        <v>0.06</v>
      </c>
      <c r="I53" s="2" t="n">
        <v>600</v>
      </c>
      <c r="J53" s="3" t="n">
        <v>0.195886</v>
      </c>
      <c r="K53" s="3" t="n">
        <v>0.048972</v>
      </c>
      <c r="L53" s="4" t="n">
        <v>64.96210000000001</v>
      </c>
      <c r="M53" s="4" t="n">
        <v>93.64579999999999</v>
      </c>
      <c r="N53" s="4" t="n">
        <v>64.96210000000001</v>
      </c>
      <c r="O53" s="4" t="n">
        <v>93.64579999999999</v>
      </c>
      <c r="P53" s="4" t="n">
        <v>28.6837</v>
      </c>
      <c r="Q53" s="4" t="n">
        <v>0.3248</v>
      </c>
      <c r="R53" s="4" t="n">
        <v>28.3589</v>
      </c>
      <c r="S53" s="4" t="n">
        <v>1354.8745</v>
      </c>
      <c r="T53" s="4" t="n">
        <v>1439.142</v>
      </c>
      <c r="U53" s="5" t="n">
        <v>5.86</v>
      </c>
      <c r="V53" s="5" t="n">
        <v>2.8359</v>
      </c>
    </row>
    <row r="54">
      <c r="A54" s="2" t="n">
        <v>53</v>
      </c>
      <c r="B54" s="2" t="inlineStr">
        <is>
          <t>Will $ENS (Ethereum Name Service) be above $40 on November 15?</t>
        </is>
      </c>
      <c r="C54" s="2" t="inlineStr">
        <is>
          <t>2021-11-16 10:46:42</t>
        </is>
      </c>
      <c r="D54" s="2" t="inlineStr">
        <is>
          <t>LONG</t>
        </is>
      </c>
      <c r="E54" s="2" t="inlineStr">
        <is>
          <t>WIN</t>
        </is>
      </c>
      <c r="F54" s="3" t="n">
        <v>0.5731000000000001</v>
      </c>
      <c r="G54" s="3" t="n">
        <v>0.6331</v>
      </c>
      <c r="H54" s="3" t="n">
        <v>0.06</v>
      </c>
      <c r="I54" s="2" t="n">
        <v>599</v>
      </c>
      <c r="J54" s="3" t="n">
        <v>0.140548</v>
      </c>
      <c r="K54" s="3" t="n">
        <v>0.035137</v>
      </c>
      <c r="L54" s="4" t="n">
        <v>47.6062</v>
      </c>
      <c r="M54" s="4" t="n">
        <v>83.06789999999999</v>
      </c>
      <c r="N54" s="4" t="n">
        <v>47.6062</v>
      </c>
      <c r="O54" s="4" t="n">
        <v>83.06789999999999</v>
      </c>
      <c r="P54" s="4" t="n">
        <v>35.4617</v>
      </c>
      <c r="Q54" s="4" t="n">
        <v>0.238</v>
      </c>
      <c r="R54" s="4" t="n">
        <v>35.2237</v>
      </c>
      <c r="S54" s="4" t="n">
        <v>1390.0981</v>
      </c>
      <c r="T54" s="4" t="n">
        <v>1439.142</v>
      </c>
      <c r="U54" s="5" t="n">
        <v>3.41</v>
      </c>
      <c r="V54" s="5" t="n">
        <v>3.5224</v>
      </c>
    </row>
    <row r="55">
      <c r="A55" s="2" t="n">
        <v>54</v>
      </c>
      <c r="B55" s="2" t="inlineStr">
        <is>
          <t>Will Ethereum Name Service ($ENS) be listed for trading on Coinbase by November 18th?</t>
        </is>
      </c>
      <c r="C55" s="2" t="inlineStr">
        <is>
          <t>2021-11-18 00:46:16</t>
        </is>
      </c>
      <c r="D55" s="2" t="inlineStr">
        <is>
          <t>LONG</t>
        </is>
      </c>
      <c r="E55" s="2" t="inlineStr">
        <is>
          <t>WIN</t>
        </is>
      </c>
      <c r="F55" s="3" t="n">
        <v>0.6064000000000001</v>
      </c>
      <c r="G55" s="3" t="n">
        <v>0.6664</v>
      </c>
      <c r="H55" s="3" t="n">
        <v>0.06</v>
      </c>
      <c r="I55" s="2" t="n">
        <v>599</v>
      </c>
      <c r="J55" s="3" t="n">
        <v>0.152439</v>
      </c>
      <c r="K55" s="3" t="n">
        <v>0.03811</v>
      </c>
      <c r="L55" s="4" t="n">
        <v>52.9766</v>
      </c>
      <c r="M55" s="4" t="n">
        <v>87.3625</v>
      </c>
      <c r="N55" s="4" t="n">
        <v>52.9766</v>
      </c>
      <c r="O55" s="4" t="n">
        <v>87.3625</v>
      </c>
      <c r="P55" s="4" t="n">
        <v>34.3859</v>
      </c>
      <c r="Q55" s="4" t="n">
        <v>0.2649</v>
      </c>
      <c r="R55" s="4" t="n">
        <v>34.121</v>
      </c>
      <c r="S55" s="4" t="n">
        <v>1424.2191</v>
      </c>
      <c r="T55" s="4" t="n">
        <v>1439.142</v>
      </c>
      <c r="U55" s="5" t="n">
        <v>1.04</v>
      </c>
      <c r="V55" s="5" t="n">
        <v>3.4121</v>
      </c>
    </row>
    <row r="56">
      <c r="A56" s="6" t="n">
        <v>55</v>
      </c>
      <c r="B56" s="6" t="inlineStr">
        <is>
          <t>What will the price of Ethereum Name Service ($ENS) be at noon on November 16, 2021?</t>
        </is>
      </c>
      <c r="C56" s="6" t="inlineStr">
        <is>
          <t>2021-11-18 00:45:34</t>
        </is>
      </c>
      <c r="D56" s="6" t="inlineStr">
        <is>
          <t>LONG</t>
        </is>
      </c>
      <c r="E56" s="6" t="inlineStr">
        <is>
          <t>LOSS</t>
        </is>
      </c>
      <c r="F56" s="7" t="n">
        <v>0.3277</v>
      </c>
      <c r="G56" s="7" t="n">
        <v>0.3877</v>
      </c>
      <c r="H56" s="7" t="n">
        <v>0.06</v>
      </c>
      <c r="I56" s="6" t="n">
        <v>600</v>
      </c>
      <c r="J56" s="7" t="n">
        <v>0.08924600000000001</v>
      </c>
      <c r="K56" s="7" t="n">
        <v>0.022311</v>
      </c>
      <c r="L56" s="8" t="n">
        <v>31.7758</v>
      </c>
      <c r="M56" s="8" t="n">
        <v>96.96599999999999</v>
      </c>
      <c r="N56" s="8" t="n">
        <v>31.7758</v>
      </c>
      <c r="O56" s="8" t="n">
        <v>0</v>
      </c>
      <c r="P56" s="8" t="n">
        <v>-31.7758</v>
      </c>
      <c r="Q56" s="8" t="n">
        <v>0.1589</v>
      </c>
      <c r="R56" s="8" t="n">
        <v>-31.9346</v>
      </c>
      <c r="S56" s="8" t="n">
        <v>1392.2845</v>
      </c>
      <c r="T56" s="8" t="n">
        <v>1439.142</v>
      </c>
      <c r="U56" s="9" t="n">
        <v>3.26</v>
      </c>
      <c r="V56" s="9" t="n">
        <v>-3.1935</v>
      </c>
    </row>
    <row r="57">
      <c r="A57" s="6" t="n">
        <v>56</v>
      </c>
      <c r="B57" s="6" t="inlineStr">
        <is>
          <t>Will the price of $BCH (Bitcoin Cash) or $BNB (Binance Coin) be higher on November 25th?</t>
        </is>
      </c>
      <c r="C57" s="6" t="inlineStr">
        <is>
          <t>2021-11-26 15:52:17</t>
        </is>
      </c>
      <c r="D57" s="6" t="inlineStr">
        <is>
          <t>LONG</t>
        </is>
      </c>
      <c r="E57" s="6" t="inlineStr">
        <is>
          <t>LOSS</t>
        </is>
      </c>
      <c r="F57" s="7" t="n">
        <v>0.4848</v>
      </c>
      <c r="G57" s="7" t="n">
        <v>0.5448</v>
      </c>
      <c r="H57" s="7" t="n">
        <v>0.06</v>
      </c>
      <c r="I57" s="6" t="n">
        <v>599</v>
      </c>
      <c r="J57" s="7" t="n">
        <v>0.11646</v>
      </c>
      <c r="K57" s="7" t="n">
        <v>0.029115</v>
      </c>
      <c r="L57" s="8" t="n">
        <v>40.5364</v>
      </c>
      <c r="M57" s="8" t="n">
        <v>83.6146</v>
      </c>
      <c r="N57" s="8" t="n">
        <v>40.5364</v>
      </c>
      <c r="O57" s="8" t="n">
        <v>0</v>
      </c>
      <c r="P57" s="8" t="n">
        <v>-40.5364</v>
      </c>
      <c r="Q57" s="8" t="n">
        <v>0.2027</v>
      </c>
      <c r="R57" s="8" t="n">
        <v>-40.739</v>
      </c>
      <c r="S57" s="8" t="n">
        <v>1351.5454</v>
      </c>
      <c r="T57" s="8" t="n">
        <v>1439.142</v>
      </c>
      <c r="U57" s="9" t="n">
        <v>6.09</v>
      </c>
      <c r="V57" s="9" t="n">
        <v>-4.0739</v>
      </c>
    </row>
    <row r="58">
      <c r="A58" s="2" t="n">
        <v>57</v>
      </c>
      <c r="B58" s="2" t="inlineStr">
        <is>
          <t>Which cryptocurrency will have higher market cap on November 24th: Polygon ($MATIC) or Algorand ($AL</t>
        </is>
      </c>
      <c r="C58" s="2" t="inlineStr">
        <is>
          <t>2021-11-25 20:15:38</t>
        </is>
      </c>
      <c r="D58" s="2" t="inlineStr">
        <is>
          <t>LONG</t>
        </is>
      </c>
      <c r="E58" s="2" t="inlineStr">
        <is>
          <t>WIN</t>
        </is>
      </c>
      <c r="F58" s="3" t="n">
        <v>0.5667</v>
      </c>
      <c r="G58" s="3" t="n">
        <v>0.6267</v>
      </c>
      <c r="H58" s="3" t="n">
        <v>0.06</v>
      </c>
      <c r="I58" s="2" t="n">
        <v>600</v>
      </c>
      <c r="J58" s="3" t="n">
        <v>0.138472</v>
      </c>
      <c r="K58" s="3" t="n">
        <v>0.034618</v>
      </c>
      <c r="L58" s="4" t="n">
        <v>46.7878</v>
      </c>
      <c r="M58" s="4" t="n">
        <v>82.56180000000001</v>
      </c>
      <c r="N58" s="4" t="n">
        <v>46.7878</v>
      </c>
      <c r="O58" s="4" t="n">
        <v>82.56180000000001</v>
      </c>
      <c r="P58" s="4" t="n">
        <v>35.774</v>
      </c>
      <c r="Q58" s="4" t="n">
        <v>0.2339</v>
      </c>
      <c r="R58" s="4" t="n">
        <v>35.5401</v>
      </c>
      <c r="S58" s="4" t="n">
        <v>1387.0856</v>
      </c>
      <c r="T58" s="4" t="n">
        <v>1439.142</v>
      </c>
      <c r="U58" s="5" t="n">
        <v>3.62</v>
      </c>
      <c r="V58" s="5" t="n">
        <v>3.554</v>
      </c>
    </row>
    <row r="59">
      <c r="A59" s="6" t="n">
        <v>58</v>
      </c>
      <c r="B59" s="6" t="inlineStr">
        <is>
          <t>Will Bitcoin ($BTC) price be above $63,000 at noon on November 22, 2021?</t>
        </is>
      </c>
      <c r="C59" s="6" t="inlineStr">
        <is>
          <t>2021-11-24 00:08:09</t>
        </is>
      </c>
      <c r="D59" s="6" t="inlineStr">
        <is>
          <t>LONG</t>
        </is>
      </c>
      <c r="E59" s="6" t="inlineStr">
        <is>
          <t>LOSS</t>
        </is>
      </c>
      <c r="F59" s="7" t="n">
        <v>0.4494</v>
      </c>
      <c r="G59" s="7" t="n">
        <v>0.5094</v>
      </c>
      <c r="H59" s="7" t="n">
        <v>0.06</v>
      </c>
      <c r="I59" s="6" t="n">
        <v>599</v>
      </c>
      <c r="J59" s="7" t="n">
        <v>0.108972</v>
      </c>
      <c r="K59" s="7" t="n">
        <v>0.027243</v>
      </c>
      <c r="L59" s="8" t="n">
        <v>37.7884</v>
      </c>
      <c r="M59" s="8" t="n">
        <v>84.08629999999999</v>
      </c>
      <c r="N59" s="8" t="n">
        <v>37.7884</v>
      </c>
      <c r="O59" s="8" t="n">
        <v>0</v>
      </c>
      <c r="P59" s="8" t="n">
        <v>-37.7884</v>
      </c>
      <c r="Q59" s="8" t="n">
        <v>0.1889</v>
      </c>
      <c r="R59" s="8" t="n">
        <v>-37.9773</v>
      </c>
      <c r="S59" s="8" t="n">
        <v>1349.1082</v>
      </c>
      <c r="T59" s="8" t="n">
        <v>1439.142</v>
      </c>
      <c r="U59" s="9" t="n">
        <v>6.26</v>
      </c>
      <c r="V59" s="9" t="n">
        <v>-3.7977</v>
      </c>
    </row>
    <row r="60">
      <c r="A60" s="2" t="n">
        <v>59</v>
      </c>
      <c r="B60" s="2" t="inlineStr">
        <is>
          <t>Will $ENS (Ethereum Name Service) be above $50 on November 25?</t>
        </is>
      </c>
      <c r="C60" s="2" t="inlineStr">
        <is>
          <t>2021-11-26 15:53:27</t>
        </is>
      </c>
      <c r="D60" s="2" t="inlineStr">
        <is>
          <t>LONG</t>
        </is>
      </c>
      <c r="E60" s="2" t="inlineStr">
        <is>
          <t>WIN</t>
        </is>
      </c>
      <c r="F60" s="3" t="n">
        <v>0.6254999999999999</v>
      </c>
      <c r="G60" s="3" t="n">
        <v>0.6855</v>
      </c>
      <c r="H60" s="3" t="n">
        <v>0.06</v>
      </c>
      <c r="I60" s="2" t="n">
        <v>600</v>
      </c>
      <c r="J60" s="3" t="n">
        <v>0.160214</v>
      </c>
      <c r="K60" s="3" t="n">
        <v>0.040053</v>
      </c>
      <c r="L60" s="4" t="n">
        <v>54.0358</v>
      </c>
      <c r="M60" s="4" t="n">
        <v>86.3882</v>
      </c>
      <c r="N60" s="4" t="n">
        <v>54.0358</v>
      </c>
      <c r="O60" s="4" t="n">
        <v>86.3882</v>
      </c>
      <c r="P60" s="4" t="n">
        <v>32.3524</v>
      </c>
      <c r="Q60" s="4" t="n">
        <v>0.2702</v>
      </c>
      <c r="R60" s="4" t="n">
        <v>32.0822</v>
      </c>
      <c r="S60" s="4" t="n">
        <v>1381.1905</v>
      </c>
      <c r="T60" s="4" t="n">
        <v>1439.142</v>
      </c>
      <c r="U60" s="5" t="n">
        <v>4.03</v>
      </c>
      <c r="V60" s="5" t="n">
        <v>3.2082</v>
      </c>
    </row>
    <row r="61">
      <c r="A61" s="6" t="n">
        <v>60</v>
      </c>
      <c r="B61" s="6" t="inlineStr">
        <is>
          <t>Which cryptocurrency will perform better in November 2021: Bitcoin or Ethereum?</t>
        </is>
      </c>
      <c r="C61" s="6" t="inlineStr">
        <is>
          <t>2021-12-02 19:36:13</t>
        </is>
      </c>
      <c r="D61" s="6" t="inlineStr">
        <is>
          <t>LONG</t>
        </is>
      </c>
      <c r="E61" s="6" t="inlineStr">
        <is>
          <t>LOSS</t>
        </is>
      </c>
      <c r="F61" s="7" t="n">
        <v>0.3923</v>
      </c>
      <c r="G61" s="7" t="n">
        <v>0.4523</v>
      </c>
      <c r="H61" s="7" t="n">
        <v>0.06</v>
      </c>
      <c r="I61" s="6" t="n">
        <v>600</v>
      </c>
      <c r="J61" s="7" t="n">
        <v>0.098733</v>
      </c>
      <c r="K61" s="7" t="n">
        <v>0.024683</v>
      </c>
      <c r="L61" s="8" t="n">
        <v>34.0919</v>
      </c>
      <c r="M61" s="8" t="n">
        <v>86.9027</v>
      </c>
      <c r="N61" s="8" t="n">
        <v>34.0919</v>
      </c>
      <c r="O61" s="8" t="n">
        <v>0</v>
      </c>
      <c r="P61" s="8" t="n">
        <v>-34.0919</v>
      </c>
      <c r="Q61" s="8" t="n">
        <v>0.1705</v>
      </c>
      <c r="R61" s="8" t="n">
        <v>-34.2624</v>
      </c>
      <c r="S61" s="8" t="n">
        <v>1346.9281</v>
      </c>
      <c r="T61" s="8" t="n">
        <v>1439.142</v>
      </c>
      <c r="U61" s="9" t="n">
        <v>6.41</v>
      </c>
      <c r="V61" s="9" t="n">
        <v>-3.4262</v>
      </c>
    </row>
    <row r="62">
      <c r="A62" s="6" t="n">
        <v>61</v>
      </c>
      <c r="B62" s="6" t="inlineStr">
        <is>
          <t>Will the floor price of Chain Runners be above 1.25 ETH on December 2?</t>
        </is>
      </c>
      <c r="C62" s="6" t="inlineStr">
        <is>
          <t>2021-12-03 23:52:38</t>
        </is>
      </c>
      <c r="D62" s="6" t="inlineStr">
        <is>
          <t>LONG</t>
        </is>
      </c>
      <c r="E62" s="6" t="inlineStr">
        <is>
          <t>LOSS</t>
        </is>
      </c>
      <c r="F62" s="7" t="n">
        <v>0.3691</v>
      </c>
      <c r="G62" s="7" t="n">
        <v>0.4291</v>
      </c>
      <c r="H62" s="7" t="n">
        <v>0.06</v>
      </c>
      <c r="I62" s="6" t="n">
        <v>600</v>
      </c>
      <c r="J62" s="7" t="n">
        <v>0.09510200000000001</v>
      </c>
      <c r="K62" s="7" t="n">
        <v>0.023776</v>
      </c>
      <c r="L62" s="8" t="n">
        <v>32.0246</v>
      </c>
      <c r="M62" s="8" t="n">
        <v>86.76390000000001</v>
      </c>
      <c r="N62" s="8" t="n">
        <v>32.0246</v>
      </c>
      <c r="O62" s="8" t="n">
        <v>0</v>
      </c>
      <c r="P62" s="8" t="n">
        <v>-32.0246</v>
      </c>
      <c r="Q62" s="8" t="n">
        <v>0.1601</v>
      </c>
      <c r="R62" s="8" t="n">
        <v>-32.1847</v>
      </c>
      <c r="S62" s="8" t="n">
        <v>1314.7434</v>
      </c>
      <c r="T62" s="8" t="n">
        <v>1439.142</v>
      </c>
      <c r="U62" s="9" t="n">
        <v>8.640000000000001</v>
      </c>
      <c r="V62" s="9" t="n">
        <v>-3.2185</v>
      </c>
    </row>
    <row r="63">
      <c r="A63" s="6" t="n">
        <v>62</v>
      </c>
      <c r="B63" s="6" t="inlineStr">
        <is>
          <t>Will the Ethereum ($ETH) Market Cap be above $520 billion on December 9?</t>
        </is>
      </c>
      <c r="C63" s="6" t="inlineStr">
        <is>
          <t>2021-12-09 19:33:20</t>
        </is>
      </c>
      <c r="D63" s="6" t="inlineStr">
        <is>
          <t>LONG</t>
        </is>
      </c>
      <c r="E63" s="6" t="inlineStr">
        <is>
          <t>LOSS</t>
        </is>
      </c>
      <c r="F63" s="7" t="n">
        <v>0.4387</v>
      </c>
      <c r="G63" s="7" t="n">
        <v>0.4987</v>
      </c>
      <c r="H63" s="7" t="n">
        <v>0.06</v>
      </c>
      <c r="I63" s="6" t="n">
        <v>600</v>
      </c>
      <c r="J63" s="7" t="n">
        <v>0.106895</v>
      </c>
      <c r="K63" s="7" t="n">
        <v>0.026724</v>
      </c>
      <c r="L63" s="8" t="n">
        <v>35.1352</v>
      </c>
      <c r="M63" s="8" t="n">
        <v>80.0894</v>
      </c>
      <c r="N63" s="8" t="n">
        <v>35.1352</v>
      </c>
      <c r="O63" s="8" t="n">
        <v>0</v>
      </c>
      <c r="P63" s="8" t="n">
        <v>-35.1352</v>
      </c>
      <c r="Q63" s="8" t="n">
        <v>0.1757</v>
      </c>
      <c r="R63" s="8" t="n">
        <v>-35.3109</v>
      </c>
      <c r="S63" s="8" t="n">
        <v>1279.4325</v>
      </c>
      <c r="T63" s="8" t="n">
        <v>1439.142</v>
      </c>
      <c r="U63" s="9" t="n">
        <v>11.1</v>
      </c>
      <c r="V63" s="9" t="n">
        <v>-3.5311</v>
      </c>
    </row>
    <row r="64">
      <c r="A64" s="6" t="n">
        <v>63</v>
      </c>
      <c r="B64" s="6" t="inlineStr">
        <is>
          <t>Will the floor price of CryptoPunks be above 85 ETH on December 16, 2021?</t>
        </is>
      </c>
      <c r="C64" s="6" t="inlineStr">
        <is>
          <t>2021-12-17 17:13:36</t>
        </is>
      </c>
      <c r="D64" s="6" t="inlineStr">
        <is>
          <t>LONG</t>
        </is>
      </c>
      <c r="E64" s="6" t="inlineStr">
        <is>
          <t>LOSS</t>
        </is>
      </c>
      <c r="F64" s="7" t="n">
        <v>0.3261</v>
      </c>
      <c r="G64" s="7" t="n">
        <v>0.3861</v>
      </c>
      <c r="H64" s="7" t="n">
        <v>0.06</v>
      </c>
      <c r="I64" s="6" t="n">
        <v>600</v>
      </c>
      <c r="J64" s="7" t="n">
        <v>0.089034</v>
      </c>
      <c r="K64" s="7" t="n">
        <v>0.022258</v>
      </c>
      <c r="L64" s="8" t="n">
        <v>28.4776</v>
      </c>
      <c r="M64" s="8" t="n">
        <v>87.3278</v>
      </c>
      <c r="N64" s="8" t="n">
        <v>28.4776</v>
      </c>
      <c r="O64" s="8" t="n">
        <v>0</v>
      </c>
      <c r="P64" s="8" t="n">
        <v>-28.4776</v>
      </c>
      <c r="Q64" s="8" t="n">
        <v>0.1424</v>
      </c>
      <c r="R64" s="8" t="n">
        <v>-28.62</v>
      </c>
      <c r="S64" s="8" t="n">
        <v>1250.8125</v>
      </c>
      <c r="T64" s="8" t="n">
        <v>1439.142</v>
      </c>
      <c r="U64" s="9" t="n">
        <v>13.09</v>
      </c>
      <c r="V64" s="9" t="n">
        <v>-2.862</v>
      </c>
    </row>
    <row r="65">
      <c r="A65" s="2" t="n">
        <v>64</v>
      </c>
      <c r="B65" s="2" t="inlineStr">
        <is>
          <t>Which cryptocurrency will perform better in December 2021: Bitcoin or Ethereum?</t>
        </is>
      </c>
      <c r="C65" s="2" t="inlineStr">
        <is>
          <t>2022-01-01 18:49:07</t>
        </is>
      </c>
      <c r="D65" s="2" t="inlineStr">
        <is>
          <t>LONG</t>
        </is>
      </c>
      <c r="E65" s="2" t="inlineStr">
        <is>
          <t>WIN</t>
        </is>
      </c>
      <c r="F65" s="3" t="n">
        <v>0.5437</v>
      </c>
      <c r="G65" s="3" t="n">
        <v>0.6037</v>
      </c>
      <c r="H65" s="3" t="n">
        <v>0.06</v>
      </c>
      <c r="I65" s="2" t="n">
        <v>600</v>
      </c>
      <c r="J65" s="3" t="n">
        <v>0.131492</v>
      </c>
      <c r="K65" s="3" t="n">
        <v>0.032873</v>
      </c>
      <c r="L65" s="4" t="n">
        <v>41.118</v>
      </c>
      <c r="M65" s="4" t="n">
        <v>75.6262</v>
      </c>
      <c r="N65" s="4" t="n">
        <v>41.118</v>
      </c>
      <c r="O65" s="4" t="n">
        <v>75.6262</v>
      </c>
      <c r="P65" s="4" t="n">
        <v>34.5082</v>
      </c>
      <c r="Q65" s="4" t="n">
        <v>0.2056</v>
      </c>
      <c r="R65" s="4" t="n">
        <v>34.3026</v>
      </c>
      <c r="S65" s="4" t="n">
        <v>1285.1152</v>
      </c>
      <c r="T65" s="4" t="n">
        <v>1439.142</v>
      </c>
      <c r="U65" s="5" t="n">
        <v>10.7</v>
      </c>
      <c r="V65" s="5" t="n">
        <v>3.4303</v>
      </c>
    </row>
    <row r="66">
      <c r="A66" s="2" t="n">
        <v>65</v>
      </c>
      <c r="B66" s="2" t="inlineStr">
        <is>
          <t>Will Sequoia Capital's Youtube memo sell for more than 100 ETH?</t>
        </is>
      </c>
      <c r="C66" s="2" t="inlineStr">
        <is>
          <t>2021-12-08 18:46:21</t>
        </is>
      </c>
      <c r="D66" s="2" t="inlineStr">
        <is>
          <t>LONG</t>
        </is>
      </c>
      <c r="E66" s="2" t="inlineStr">
        <is>
          <t>WIN</t>
        </is>
      </c>
      <c r="F66" s="3" t="n">
        <v>0.4562</v>
      </c>
      <c r="G66" s="3" t="n">
        <v>0.5162</v>
      </c>
      <c r="H66" s="3" t="n">
        <v>0.06</v>
      </c>
      <c r="I66" s="2" t="n">
        <v>600</v>
      </c>
      <c r="J66" s="3" t="n">
        <v>0.110335</v>
      </c>
      <c r="K66" s="3" t="n">
        <v>0.027584</v>
      </c>
      <c r="L66" s="4" t="n">
        <v>35.4486</v>
      </c>
      <c r="M66" s="4" t="n">
        <v>77.7041</v>
      </c>
      <c r="N66" s="4" t="n">
        <v>35.4486</v>
      </c>
      <c r="O66" s="4" t="n">
        <v>77.7041</v>
      </c>
      <c r="P66" s="4" t="n">
        <v>42.2555</v>
      </c>
      <c r="Q66" s="4" t="n">
        <v>0.1772</v>
      </c>
      <c r="R66" s="4" t="n">
        <v>42.0783</v>
      </c>
      <c r="S66" s="4" t="n">
        <v>1327.1934</v>
      </c>
      <c r="T66" s="4" t="n">
        <v>1439.142</v>
      </c>
      <c r="U66" s="5" t="n">
        <v>7.78</v>
      </c>
      <c r="V66" s="5" t="n">
        <v>4.2078</v>
      </c>
    </row>
    <row r="67">
      <c r="A67" s="2" t="n">
        <v>66</v>
      </c>
      <c r="B67" s="2" t="inlineStr">
        <is>
          <t>Will Bored Ape Yacht Club (BAYC) flip CryptoPunks by January 10, 2022?</t>
        </is>
      </c>
      <c r="C67" s="2" t="inlineStr">
        <is>
          <t>2022-01-03 18:57:57</t>
        </is>
      </c>
      <c r="D67" s="2" t="inlineStr">
        <is>
          <t>LONG</t>
        </is>
      </c>
      <c r="E67" s="2" t="inlineStr">
        <is>
          <t>WIN</t>
        </is>
      </c>
      <c r="F67" s="3" t="n">
        <v>0.7088</v>
      </c>
      <c r="G67" s="3" t="n">
        <v>0.7688</v>
      </c>
      <c r="H67" s="3" t="n">
        <v>0.06</v>
      </c>
      <c r="I67" s="2" t="n">
        <v>600</v>
      </c>
      <c r="J67" s="3" t="n">
        <v>0.206044</v>
      </c>
      <c r="K67" s="3" t="n">
        <v>0.051511</v>
      </c>
      <c r="L67" s="4" t="n">
        <v>68.3651</v>
      </c>
      <c r="M67" s="4" t="n">
        <v>96.45180000000001</v>
      </c>
      <c r="N67" s="4" t="n">
        <v>68.3651</v>
      </c>
      <c r="O67" s="4" t="n">
        <v>96.45180000000001</v>
      </c>
      <c r="P67" s="4" t="n">
        <v>28.0868</v>
      </c>
      <c r="Q67" s="4" t="n">
        <v>0.3418</v>
      </c>
      <c r="R67" s="4" t="n">
        <v>27.7449</v>
      </c>
      <c r="S67" s="4" t="n">
        <v>1354.9384</v>
      </c>
      <c r="T67" s="4" t="n">
        <v>1439.142</v>
      </c>
      <c r="U67" s="5" t="n">
        <v>5.85</v>
      </c>
      <c r="V67" s="5" t="n">
        <v>2.7745</v>
      </c>
    </row>
    <row r="68">
      <c r="A68" s="2" t="n">
        <v>67</v>
      </c>
      <c r="B68" s="2" t="inlineStr">
        <is>
          <t>Will the floor price of Bored Apes be above 48 ETH on December 22, 2021?</t>
        </is>
      </c>
      <c r="C68" s="2" t="inlineStr">
        <is>
          <t>2021-12-22 18:45:37</t>
        </is>
      </c>
      <c r="D68" s="2" t="inlineStr">
        <is>
          <t>LONG</t>
        </is>
      </c>
      <c r="E68" s="2" t="inlineStr">
        <is>
          <t>WIN</t>
        </is>
      </c>
      <c r="F68" s="3" t="n">
        <v>0.6044</v>
      </c>
      <c r="G68" s="3" t="n">
        <v>0.6644</v>
      </c>
      <c r="H68" s="3" t="n">
        <v>0.06</v>
      </c>
      <c r="I68" s="2" t="n">
        <v>599</v>
      </c>
      <c r="J68" s="3" t="n">
        <v>0.151668</v>
      </c>
      <c r="K68" s="3" t="n">
        <v>0.037917</v>
      </c>
      <c r="L68" s="4" t="n">
        <v>51.3752</v>
      </c>
      <c r="M68" s="4" t="n">
        <v>85.002</v>
      </c>
      <c r="N68" s="4" t="n">
        <v>51.3752</v>
      </c>
      <c r="O68" s="4" t="n">
        <v>85.002</v>
      </c>
      <c r="P68" s="4" t="n">
        <v>33.6268</v>
      </c>
      <c r="Q68" s="4" t="n">
        <v>0.2569</v>
      </c>
      <c r="R68" s="4" t="n">
        <v>33.3699</v>
      </c>
      <c r="S68" s="4" t="n">
        <v>1388.3083</v>
      </c>
      <c r="T68" s="4" t="n">
        <v>1439.142</v>
      </c>
      <c r="U68" s="5" t="n">
        <v>3.53</v>
      </c>
      <c r="V68" s="5" t="n">
        <v>3.337</v>
      </c>
    </row>
    <row r="69">
      <c r="A69" s="6" t="n">
        <v>68</v>
      </c>
      <c r="B69" s="6" t="inlineStr">
        <is>
          <t>Will the floor price of CryptoPunks be above 75 ETH on January 13?</t>
        </is>
      </c>
      <c r="C69" s="6" t="inlineStr">
        <is>
          <t>2022-01-14 21:00:56</t>
        </is>
      </c>
      <c r="D69" s="6" t="inlineStr">
        <is>
          <t>LONG</t>
        </is>
      </c>
      <c r="E69" s="6" t="inlineStr">
        <is>
          <t>LOSS</t>
        </is>
      </c>
      <c r="F69" s="7" t="n">
        <v>0.3985</v>
      </c>
      <c r="G69" s="7" t="n">
        <v>0.4585</v>
      </c>
      <c r="H69" s="7" t="n">
        <v>0.06</v>
      </c>
      <c r="I69" s="6" t="n">
        <v>600</v>
      </c>
      <c r="J69" s="7" t="n">
        <v>0.09975100000000001</v>
      </c>
      <c r="K69" s="7" t="n">
        <v>0.024938</v>
      </c>
      <c r="L69" s="8" t="n">
        <v>34.6216</v>
      </c>
      <c r="M69" s="8" t="n">
        <v>86.87990000000001</v>
      </c>
      <c r="N69" s="8" t="n">
        <v>34.6216</v>
      </c>
      <c r="O69" s="8" t="n">
        <v>0</v>
      </c>
      <c r="P69" s="8" t="n">
        <v>-34.6216</v>
      </c>
      <c r="Q69" s="8" t="n">
        <v>0.1731</v>
      </c>
      <c r="R69" s="8" t="n">
        <v>-34.7947</v>
      </c>
      <c r="S69" s="8" t="n">
        <v>1353.5135</v>
      </c>
      <c r="T69" s="8" t="n">
        <v>1439.142</v>
      </c>
      <c r="U69" s="9" t="n">
        <v>5.95</v>
      </c>
      <c r="V69" s="9" t="n">
        <v>-3.4795</v>
      </c>
    </row>
    <row r="70">
      <c r="A70" s="2" t="n">
        <v>69</v>
      </c>
      <c r="B70" s="2" t="inlineStr">
        <is>
          <t>Will the floor price of Bored Apes be above 53 ETH on January 14?</t>
        </is>
      </c>
      <c r="C70" s="2" t="inlineStr">
        <is>
          <t>2022-01-15 00:22:00</t>
        </is>
      </c>
      <c r="D70" s="2" t="inlineStr">
        <is>
          <t>LONG</t>
        </is>
      </c>
      <c r="E70" s="2" t="inlineStr">
        <is>
          <t>WIN</t>
        </is>
      </c>
      <c r="F70" s="3" t="n">
        <v>0.4558</v>
      </c>
      <c r="G70" s="3" t="n">
        <v>0.5158</v>
      </c>
      <c r="H70" s="3" t="n">
        <v>0.06</v>
      </c>
      <c r="I70" s="2" t="n">
        <v>600</v>
      </c>
      <c r="J70" s="3" t="n">
        <v>0.110254</v>
      </c>
      <c r="K70" s="3" t="n">
        <v>0.027563</v>
      </c>
      <c r="L70" s="4" t="n">
        <v>37.3069</v>
      </c>
      <c r="M70" s="4" t="n">
        <v>81.8493</v>
      </c>
      <c r="N70" s="4" t="n">
        <v>37.3069</v>
      </c>
      <c r="O70" s="4" t="n">
        <v>81.8493</v>
      </c>
      <c r="P70" s="4" t="n">
        <v>44.5424</v>
      </c>
      <c r="Q70" s="4" t="n">
        <v>0.1865</v>
      </c>
      <c r="R70" s="4" t="n">
        <v>44.3558</v>
      </c>
      <c r="S70" s="4" t="n">
        <v>1397.8694</v>
      </c>
      <c r="T70" s="4" t="n">
        <v>1439.142</v>
      </c>
      <c r="U70" s="5" t="n">
        <v>2.87</v>
      </c>
      <c r="V70" s="5" t="n">
        <v>4.4356</v>
      </c>
    </row>
    <row r="71">
      <c r="A71" s="2" t="n">
        <v>70</v>
      </c>
      <c r="B71" s="2" t="inlineStr">
        <is>
          <t>Will the floor price of Bored Apes be above 59 ETH on January 14?</t>
        </is>
      </c>
      <c r="C71" s="2" t="inlineStr">
        <is>
          <t>2022-01-15 00:21:28</t>
        </is>
      </c>
      <c r="D71" s="2" t="inlineStr">
        <is>
          <t>LONG</t>
        </is>
      </c>
      <c r="E71" s="2" t="inlineStr">
        <is>
          <t>WIN</t>
        </is>
      </c>
      <c r="F71" s="3" t="n">
        <v>0.6731</v>
      </c>
      <c r="G71" s="3" t="n">
        <v>0.7331</v>
      </c>
      <c r="H71" s="3" t="n">
        <v>0.06</v>
      </c>
      <c r="I71" s="2" t="n">
        <v>599</v>
      </c>
      <c r="J71" s="3" t="n">
        <v>0.183542</v>
      </c>
      <c r="K71" s="3" t="n">
        <v>0.045886</v>
      </c>
      <c r="L71" s="4" t="n">
        <v>64.1426</v>
      </c>
      <c r="M71" s="4" t="n">
        <v>95.2944</v>
      </c>
      <c r="N71" s="4" t="n">
        <v>64.1426</v>
      </c>
      <c r="O71" s="4" t="n">
        <v>95.2944</v>
      </c>
      <c r="P71" s="4" t="n">
        <v>31.1517</v>
      </c>
      <c r="Q71" s="4" t="n">
        <v>0.3207</v>
      </c>
      <c r="R71" s="4" t="n">
        <v>30.831</v>
      </c>
      <c r="S71" s="4" t="n">
        <v>1428.7004</v>
      </c>
      <c r="T71" s="4" t="n">
        <v>1439.142</v>
      </c>
      <c r="U71" s="5" t="n">
        <v>0.73</v>
      </c>
      <c r="V71" s="5" t="n">
        <v>3.0831</v>
      </c>
    </row>
    <row r="72">
      <c r="A72" s="2" t="n">
        <v>71</v>
      </c>
      <c r="B72" s="2" t="inlineStr">
        <is>
          <t>Will the floor price of Mutant Apes be above 7 ETH on January 12?</t>
        </is>
      </c>
      <c r="C72" s="2" t="inlineStr">
        <is>
          <t>2022-01-12 18:57:40</t>
        </is>
      </c>
      <c r="D72" s="2" t="inlineStr">
        <is>
          <t>LONG</t>
        </is>
      </c>
      <c r="E72" s="2" t="inlineStr">
        <is>
          <t>WIN</t>
        </is>
      </c>
      <c r="F72" s="3" t="n">
        <v>0.4879</v>
      </c>
      <c r="G72" s="3" t="n">
        <v>0.5479000000000001</v>
      </c>
      <c r="H72" s="3" t="n">
        <v>0.06</v>
      </c>
      <c r="I72" s="2" t="n">
        <v>600</v>
      </c>
      <c r="J72" s="3" t="n">
        <v>0.117165</v>
      </c>
      <c r="K72" s="3" t="n">
        <v>0.029291</v>
      </c>
      <c r="L72" s="4" t="n">
        <v>41.8481</v>
      </c>
      <c r="M72" s="4" t="n">
        <v>85.7718</v>
      </c>
      <c r="N72" s="4" t="n">
        <v>41.8481</v>
      </c>
      <c r="O72" s="4" t="n">
        <v>85.7718</v>
      </c>
      <c r="P72" s="4" t="n">
        <v>43.9237</v>
      </c>
      <c r="Q72" s="4" t="n">
        <v>0.2092</v>
      </c>
      <c r="R72" s="4" t="n">
        <v>43.7145</v>
      </c>
      <c r="S72" s="4" t="n">
        <v>1472.4149</v>
      </c>
      <c r="T72" s="4" t="n">
        <v>1472.4149</v>
      </c>
      <c r="U72" s="5" t="n">
        <v>0</v>
      </c>
      <c r="V72" s="5" t="n">
        <v>4.3714</v>
      </c>
    </row>
    <row r="73">
      <c r="A73" s="2" t="n">
        <v>72</v>
      </c>
      <c r="B73" s="2" t="inlineStr">
        <is>
          <t>Will the floor price of Mutant Apes be above 10 ETH on January 12?</t>
        </is>
      </c>
      <c r="C73" s="2" t="inlineStr">
        <is>
          <t>2022-01-12 18:57:06</t>
        </is>
      </c>
      <c r="D73" s="2" t="inlineStr">
        <is>
          <t>LONG</t>
        </is>
      </c>
      <c r="E73" s="2" t="inlineStr">
        <is>
          <t>WIN</t>
        </is>
      </c>
      <c r="F73" s="3" t="n">
        <v>0.5996</v>
      </c>
      <c r="G73" s="3" t="n">
        <v>0.6596</v>
      </c>
      <c r="H73" s="3" t="n">
        <v>0.06</v>
      </c>
      <c r="I73" s="2" t="n">
        <v>599</v>
      </c>
      <c r="J73" s="3" t="n">
        <v>0.14985</v>
      </c>
      <c r="K73" s="3" t="n">
        <v>0.037463</v>
      </c>
      <c r="L73" s="4" t="n">
        <v>55.1611</v>
      </c>
      <c r="M73" s="4" t="n">
        <v>91.9965</v>
      </c>
      <c r="N73" s="4" t="n">
        <v>55.1611</v>
      </c>
      <c r="O73" s="4" t="n">
        <v>91.9965</v>
      </c>
      <c r="P73" s="4" t="n">
        <v>36.8354</v>
      </c>
      <c r="Q73" s="4" t="n">
        <v>0.2758</v>
      </c>
      <c r="R73" s="4" t="n">
        <v>36.5596</v>
      </c>
      <c r="S73" s="4" t="n">
        <v>1508.9744</v>
      </c>
      <c r="T73" s="4" t="n">
        <v>1508.9744</v>
      </c>
      <c r="U73" s="5" t="n">
        <v>0</v>
      </c>
      <c r="V73" s="5" t="n">
        <v>3.656</v>
      </c>
    </row>
    <row r="74">
      <c r="A74" s="2" t="n">
        <v>73</v>
      </c>
      <c r="B74" s="2" t="inlineStr">
        <is>
          <t>Will the floor price of Mutant Apes be above 13 ETH on January 12?</t>
        </is>
      </c>
      <c r="C74" s="2" t="inlineStr">
        <is>
          <t>2022-01-12 18:57:26</t>
        </is>
      </c>
      <c r="D74" s="2" t="inlineStr">
        <is>
          <t>LONG</t>
        </is>
      </c>
      <c r="E74" s="2" t="inlineStr">
        <is>
          <t>WIN</t>
        </is>
      </c>
      <c r="F74" s="3" t="n">
        <v>0.4793</v>
      </c>
      <c r="G74" s="3" t="n">
        <v>0.5393</v>
      </c>
      <c r="H74" s="3" t="n">
        <v>0.06</v>
      </c>
      <c r="I74" s="2" t="n">
        <v>600</v>
      </c>
      <c r="J74" s="3" t="n">
        <v>0.115229</v>
      </c>
      <c r="K74" s="3" t="n">
        <v>0.028807</v>
      </c>
      <c r="L74" s="4" t="n">
        <v>43.469</v>
      </c>
      <c r="M74" s="4" t="n">
        <v>90.6927</v>
      </c>
      <c r="N74" s="4" t="n">
        <v>43.469</v>
      </c>
      <c r="O74" s="4" t="n">
        <v>90.6927</v>
      </c>
      <c r="P74" s="4" t="n">
        <v>47.2237</v>
      </c>
      <c r="Q74" s="4" t="n">
        <v>0.2173</v>
      </c>
      <c r="R74" s="4" t="n">
        <v>47.0064</v>
      </c>
      <c r="S74" s="4" t="n">
        <v>1555.9808</v>
      </c>
      <c r="T74" s="4" t="n">
        <v>1555.9808</v>
      </c>
      <c r="U74" s="5" t="n">
        <v>0</v>
      </c>
      <c r="V74" s="5" t="n">
        <v>4.7006</v>
      </c>
    </row>
    <row r="75">
      <c r="A75" s="2" t="n">
        <v>74</v>
      </c>
      <c r="B75" s="2" t="inlineStr">
        <is>
          <t>Will Bitcoin (BTC) price be closer to $42,069 or $69,420 at noon on January 11?</t>
        </is>
      </c>
      <c r="C75" s="2" t="inlineStr">
        <is>
          <t>2022-01-12 18:53:10</t>
        </is>
      </c>
      <c r="D75" s="2" t="inlineStr">
        <is>
          <t>LONG</t>
        </is>
      </c>
      <c r="E75" s="2" t="inlineStr">
        <is>
          <t>WIN</t>
        </is>
      </c>
      <c r="F75" s="3" t="n">
        <v>0.5259</v>
      </c>
      <c r="G75" s="3" t="n">
        <v>0.5859</v>
      </c>
      <c r="H75" s="3" t="n">
        <v>0.06</v>
      </c>
      <c r="I75" s="2" t="n">
        <v>599</v>
      </c>
      <c r="J75" s="3" t="n">
        <v>0.126556</v>
      </c>
      <c r="K75" s="3" t="n">
        <v>0.031639</v>
      </c>
      <c r="L75" s="4" t="n">
        <v>49.2297</v>
      </c>
      <c r="M75" s="4" t="n">
        <v>93.6103</v>
      </c>
      <c r="N75" s="4" t="n">
        <v>49.2297</v>
      </c>
      <c r="O75" s="4" t="n">
        <v>93.6103</v>
      </c>
      <c r="P75" s="4" t="n">
        <v>44.3807</v>
      </c>
      <c r="Q75" s="4" t="n">
        <v>0.2461</v>
      </c>
      <c r="R75" s="4" t="n">
        <v>44.1345</v>
      </c>
      <c r="S75" s="4" t="n">
        <v>1600.1153</v>
      </c>
      <c r="T75" s="4" t="n">
        <v>1600.1153</v>
      </c>
      <c r="U75" s="5" t="n">
        <v>0</v>
      </c>
      <c r="V75" s="5" t="n">
        <v>4.4135</v>
      </c>
    </row>
    <row r="76">
      <c r="A76" s="6" t="n">
        <v>75</v>
      </c>
      <c r="B76" s="6" t="inlineStr">
        <is>
          <t>Will $ETH (Ethereum) be above $4,000 on January 12, 12pm ET?</t>
        </is>
      </c>
      <c r="C76" s="6" t="inlineStr">
        <is>
          <t>2022-01-13 18:38:16</t>
        </is>
      </c>
      <c r="D76" s="6" t="inlineStr">
        <is>
          <t>LONG</t>
        </is>
      </c>
      <c r="E76" s="6" t="inlineStr">
        <is>
          <t>LOSS</t>
        </is>
      </c>
      <c r="F76" s="7" t="n">
        <v>0.458</v>
      </c>
      <c r="G76" s="7" t="n">
        <v>0.518</v>
      </c>
      <c r="H76" s="7" t="n">
        <v>0.06</v>
      </c>
      <c r="I76" s="6" t="n">
        <v>600</v>
      </c>
      <c r="J76" s="7" t="n">
        <v>0.110701</v>
      </c>
      <c r="K76" s="7" t="n">
        <v>0.027675</v>
      </c>
      <c r="L76" s="8" t="n">
        <v>44.2832</v>
      </c>
      <c r="M76" s="8" t="n">
        <v>96.68819999999999</v>
      </c>
      <c r="N76" s="8" t="n">
        <v>44.2832</v>
      </c>
      <c r="O76" s="8" t="n">
        <v>0</v>
      </c>
      <c r="P76" s="8" t="n">
        <v>-44.2832</v>
      </c>
      <c r="Q76" s="8" t="n">
        <v>0.2214</v>
      </c>
      <c r="R76" s="8" t="n">
        <v>-44.5046</v>
      </c>
      <c r="S76" s="8" t="n">
        <v>1555.6107</v>
      </c>
      <c r="T76" s="8" t="n">
        <v>1600.1153</v>
      </c>
      <c r="U76" s="9" t="n">
        <v>2.78</v>
      </c>
      <c r="V76" s="9" t="n">
        <v>-4.4505</v>
      </c>
    </row>
    <row r="77">
      <c r="A77" s="6" t="n">
        <v>76</v>
      </c>
      <c r="B77" s="6" t="inlineStr">
        <is>
          <t>Will Crypto.com's $CRO price be above $0.60 at noon on January 11?</t>
        </is>
      </c>
      <c r="C77" s="6" t="inlineStr">
        <is>
          <t>2022-01-12 18:51:50</t>
        </is>
      </c>
      <c r="D77" s="6" t="inlineStr">
        <is>
          <t>LONG</t>
        </is>
      </c>
      <c r="E77" s="6" t="inlineStr">
        <is>
          <t>LOSS</t>
        </is>
      </c>
      <c r="F77" s="7" t="n">
        <v>0.4763</v>
      </c>
      <c r="G77" s="7" t="n">
        <v>0.5363</v>
      </c>
      <c r="H77" s="7" t="n">
        <v>0.06</v>
      </c>
      <c r="I77" s="6" t="n">
        <v>600</v>
      </c>
      <c r="J77" s="7" t="n">
        <v>0.114569</v>
      </c>
      <c r="K77" s="7" t="n">
        <v>0.028642</v>
      </c>
      <c r="L77" s="8" t="n">
        <v>44.5558</v>
      </c>
      <c r="M77" s="8" t="n">
        <v>93.5457</v>
      </c>
      <c r="N77" s="8" t="n">
        <v>44.5558</v>
      </c>
      <c r="O77" s="8" t="n">
        <v>0</v>
      </c>
      <c r="P77" s="8" t="n">
        <v>-44.5558</v>
      </c>
      <c r="Q77" s="8" t="n">
        <v>0.2228</v>
      </c>
      <c r="R77" s="8" t="n">
        <v>-44.7786</v>
      </c>
      <c r="S77" s="8" t="n">
        <v>1510.8321</v>
      </c>
      <c r="T77" s="8" t="n">
        <v>1600.1153</v>
      </c>
      <c r="U77" s="9" t="n">
        <v>5.58</v>
      </c>
      <c r="V77" s="9" t="n">
        <v>-4.4779</v>
      </c>
    </row>
    <row r="78">
      <c r="A78" s="6" t="n">
        <v>77</v>
      </c>
      <c r="B78" s="6" t="inlineStr">
        <is>
          <t>Will Joe Biden's FiveThirtyEight approval rating be 43.0% or more on January 26?</t>
        </is>
      </c>
      <c r="C78" s="6" t="inlineStr">
        <is>
          <t>2022-01-29 18:15:07</t>
        </is>
      </c>
      <c r="D78" s="6" t="inlineStr">
        <is>
          <t>LONG</t>
        </is>
      </c>
      <c r="E78" s="6" t="inlineStr">
        <is>
          <t>LOSS</t>
        </is>
      </c>
      <c r="F78" s="7" t="n">
        <v>0.5273</v>
      </c>
      <c r="G78" s="7" t="n">
        <v>0.5873</v>
      </c>
      <c r="H78" s="7" t="n">
        <v>0.06</v>
      </c>
      <c r="I78" s="6" t="n">
        <v>600</v>
      </c>
      <c r="J78" s="7" t="n">
        <v>0.12693</v>
      </c>
      <c r="K78" s="7" t="n">
        <v>0.031733</v>
      </c>
      <c r="L78" s="8" t="n">
        <v>47.9432</v>
      </c>
      <c r="M78" s="8" t="n">
        <v>90.9221</v>
      </c>
      <c r="N78" s="8" t="n">
        <v>47.9432</v>
      </c>
      <c r="O78" s="8" t="n">
        <v>0</v>
      </c>
      <c r="P78" s="8" t="n">
        <v>-47.9432</v>
      </c>
      <c r="Q78" s="8" t="n">
        <v>0.2397</v>
      </c>
      <c r="R78" s="8" t="n">
        <v>-48.183</v>
      </c>
      <c r="S78" s="8" t="n">
        <v>1462.6492</v>
      </c>
      <c r="T78" s="8" t="n">
        <v>1600.1153</v>
      </c>
      <c r="U78" s="9" t="n">
        <v>8.59</v>
      </c>
      <c r="V78" s="9" t="n">
        <v>-4.8183</v>
      </c>
    </row>
    <row r="79">
      <c r="A79" s="2" t="n">
        <v>78</v>
      </c>
      <c r="B79" s="2" t="inlineStr">
        <is>
          <t>Will the floor price of Mutant Apes be above 15 ETH on February 1st, 2022?</t>
        </is>
      </c>
      <c r="C79" s="2" t="inlineStr">
        <is>
          <t>2022-02-02 17:01:25</t>
        </is>
      </c>
      <c r="D79" s="2" t="inlineStr">
        <is>
          <t>LONG</t>
        </is>
      </c>
      <c r="E79" s="2" t="inlineStr">
        <is>
          <t>WIN</t>
        </is>
      </c>
      <c r="F79" s="3" t="n">
        <v>0.4601</v>
      </c>
      <c r="G79" s="3" t="n">
        <v>0.5201</v>
      </c>
      <c r="H79" s="3" t="n">
        <v>0.06</v>
      </c>
      <c r="I79" s="2" t="n">
        <v>600</v>
      </c>
      <c r="J79" s="3" t="n">
        <v>0.111132</v>
      </c>
      <c r="K79" s="3" t="n">
        <v>0.027783</v>
      </c>
      <c r="L79" s="4" t="n">
        <v>40.6368</v>
      </c>
      <c r="M79" s="4" t="n">
        <v>88.3216</v>
      </c>
      <c r="N79" s="4" t="n">
        <v>40.6368</v>
      </c>
      <c r="O79" s="4" t="n">
        <v>88.3216</v>
      </c>
      <c r="P79" s="4" t="n">
        <v>47.6848</v>
      </c>
      <c r="Q79" s="4" t="n">
        <v>0.2032</v>
      </c>
      <c r="R79" s="4" t="n">
        <v>47.4817</v>
      </c>
      <c r="S79" s="4" t="n">
        <v>1510.1308</v>
      </c>
      <c r="T79" s="4" t="n">
        <v>1600.1153</v>
      </c>
      <c r="U79" s="5" t="n">
        <v>5.62</v>
      </c>
      <c r="V79" s="5" t="n">
        <v>4.7482</v>
      </c>
    </row>
    <row r="80">
      <c r="A80" s="2" t="n">
        <v>79</v>
      </c>
      <c r="B80" s="2" t="inlineStr">
        <is>
          <t>Will the floor price of Mutant Apes be above 20 ETH on February 1st, 2022?</t>
        </is>
      </c>
      <c r="C80" s="2" t="inlineStr">
        <is>
          <t>2022-02-02 16:59:27</t>
        </is>
      </c>
      <c r="D80" s="2" t="inlineStr">
        <is>
          <t>LONG</t>
        </is>
      </c>
      <c r="E80" s="2" t="inlineStr">
        <is>
          <t>WIN</t>
        </is>
      </c>
      <c r="F80" s="3" t="n">
        <v>0.5998</v>
      </c>
      <c r="G80" s="3" t="n">
        <v>0.6598000000000001</v>
      </c>
      <c r="H80" s="3" t="n">
        <v>0.06</v>
      </c>
      <c r="I80" s="2" t="n">
        <v>600</v>
      </c>
      <c r="J80" s="3" t="n">
        <v>0.149925</v>
      </c>
      <c r="K80" s="3" t="n">
        <v>0.037481</v>
      </c>
      <c r="L80" s="4" t="n">
        <v>56.6012</v>
      </c>
      <c r="M80" s="4" t="n">
        <v>94.3668</v>
      </c>
      <c r="N80" s="4" t="n">
        <v>56.6012</v>
      </c>
      <c r="O80" s="4" t="n">
        <v>94.3668</v>
      </c>
      <c r="P80" s="4" t="n">
        <v>37.7656</v>
      </c>
      <c r="Q80" s="4" t="n">
        <v>0.283</v>
      </c>
      <c r="R80" s="4" t="n">
        <v>37.4826</v>
      </c>
      <c r="S80" s="4" t="n">
        <v>1547.6134</v>
      </c>
      <c r="T80" s="4" t="n">
        <v>1600.1153</v>
      </c>
      <c r="U80" s="5" t="n">
        <v>3.28</v>
      </c>
      <c r="V80" s="5" t="n">
        <v>3.7483</v>
      </c>
    </row>
    <row r="81">
      <c r="A81" s="2" t="n">
        <v>80</v>
      </c>
      <c r="B81" s="2" t="inlineStr">
        <is>
          <t>Will Bored Apes or CryptoPunks have a higher floor price on March 1st, 2022?</t>
        </is>
      </c>
      <c r="C81" s="2" t="inlineStr">
        <is>
          <t>2022-03-02 16:22:45</t>
        </is>
      </c>
      <c r="D81" s="2" t="inlineStr">
        <is>
          <t>LONG</t>
        </is>
      </c>
      <c r="E81" s="2" t="inlineStr">
        <is>
          <t>WIN</t>
        </is>
      </c>
      <c r="F81" s="3" t="n">
        <v>0.674</v>
      </c>
      <c r="G81" s="3" t="n">
        <v>0.734</v>
      </c>
      <c r="H81" s="3" t="n">
        <v>0.06</v>
      </c>
      <c r="I81" s="2" t="n">
        <v>599</v>
      </c>
      <c r="J81" s="3" t="n">
        <v>0.184049</v>
      </c>
      <c r="K81" s="3" t="n">
        <v>0.046012</v>
      </c>
      <c r="L81" s="4" t="n">
        <v>71.2088</v>
      </c>
      <c r="M81" s="4" t="n">
        <v>105.651</v>
      </c>
      <c r="N81" s="4" t="n">
        <v>71.2088</v>
      </c>
      <c r="O81" s="4" t="n">
        <v>105.651</v>
      </c>
      <c r="P81" s="4" t="n">
        <v>34.4422</v>
      </c>
      <c r="Q81" s="4" t="n">
        <v>0.356</v>
      </c>
      <c r="R81" s="4" t="n">
        <v>34.0862</v>
      </c>
      <c r="S81" s="4" t="n">
        <v>1581.6996</v>
      </c>
      <c r="T81" s="4" t="n">
        <v>1600.1153</v>
      </c>
      <c r="U81" s="5" t="n">
        <v>1.15</v>
      </c>
      <c r="V81" s="5" t="n">
        <v>3.4086</v>
      </c>
    </row>
    <row r="82">
      <c r="A82" s="2" t="n">
        <v>81</v>
      </c>
      <c r="B82" s="2" t="inlineStr">
        <is>
          <t>Will the floor price of CryptoPunks be above 50 ETH on February 1st, 2022?</t>
        </is>
      </c>
      <c r="C82" s="2" t="inlineStr">
        <is>
          <t>2022-02-02 16:50:47</t>
        </is>
      </c>
      <c r="D82" s="2" t="inlineStr">
        <is>
          <t>LONG</t>
        </is>
      </c>
      <c r="E82" s="2" t="inlineStr">
        <is>
          <t>WIN</t>
        </is>
      </c>
      <c r="F82" s="3" t="n">
        <v>0.5356</v>
      </c>
      <c r="G82" s="3" t="n">
        <v>0.5956</v>
      </c>
      <c r="H82" s="3" t="n">
        <v>0.06</v>
      </c>
      <c r="I82" s="2" t="n">
        <v>600</v>
      </c>
      <c r="J82" s="3" t="n">
        <v>0.129199</v>
      </c>
      <c r="K82" s="3" t="n">
        <v>0.0323</v>
      </c>
      <c r="L82" s="4" t="n">
        <v>51.0889</v>
      </c>
      <c r="M82" s="4" t="n">
        <v>95.38630000000001</v>
      </c>
      <c r="N82" s="4" t="n">
        <v>51.0889</v>
      </c>
      <c r="O82" s="4" t="n">
        <v>95.38630000000001</v>
      </c>
      <c r="P82" s="4" t="n">
        <v>44.2974</v>
      </c>
      <c r="Q82" s="4" t="n">
        <v>0.2554</v>
      </c>
      <c r="R82" s="4" t="n">
        <v>44.0419</v>
      </c>
      <c r="S82" s="4" t="n">
        <v>1625.7416</v>
      </c>
      <c r="T82" s="4" t="n">
        <v>1625.7416</v>
      </c>
      <c r="U82" s="5" t="n">
        <v>0</v>
      </c>
      <c r="V82" s="5" t="n">
        <v>4.4042</v>
      </c>
    </row>
    <row r="83">
      <c r="A83" s="2" t="n">
        <v>82</v>
      </c>
      <c r="B83" s="2" t="inlineStr">
        <is>
          <t>Will the floor price of CryptoPunks be above 60 ETH on February 1st, 2022?</t>
        </is>
      </c>
      <c r="C83" s="2" t="inlineStr">
        <is>
          <t>2022-02-02 16:50:19</t>
        </is>
      </c>
      <c r="D83" s="2" t="inlineStr">
        <is>
          <t>LONG</t>
        </is>
      </c>
      <c r="E83" s="2" t="inlineStr">
        <is>
          <t>WIN</t>
        </is>
      </c>
      <c r="F83" s="3" t="n">
        <v>0.7073</v>
      </c>
      <c r="G83" s="3" t="n">
        <v>0.7673</v>
      </c>
      <c r="H83" s="3" t="n">
        <v>0.06</v>
      </c>
      <c r="I83" s="2" t="n">
        <v>599</v>
      </c>
      <c r="J83" s="3" t="n">
        <v>0.204988</v>
      </c>
      <c r="K83" s="3" t="n">
        <v>0.051247</v>
      </c>
      <c r="L83" s="4" t="n">
        <v>83.31440000000001</v>
      </c>
      <c r="M83" s="4" t="n">
        <v>117.7921</v>
      </c>
      <c r="N83" s="4" t="n">
        <v>83.31440000000001</v>
      </c>
      <c r="O83" s="4" t="n">
        <v>117.7921</v>
      </c>
      <c r="P83" s="4" t="n">
        <v>34.4778</v>
      </c>
      <c r="Q83" s="4" t="n">
        <v>0.4166</v>
      </c>
      <c r="R83" s="4" t="n">
        <v>34.0612</v>
      </c>
      <c r="S83" s="4" t="n">
        <v>1659.8028</v>
      </c>
      <c r="T83" s="4" t="n">
        <v>1659.8028</v>
      </c>
      <c r="U83" s="5" t="n">
        <v>0</v>
      </c>
      <c r="V83" s="5" t="n">
        <v>3.4061</v>
      </c>
    </row>
    <row r="84">
      <c r="A84" s="2" t="n">
        <v>83</v>
      </c>
      <c r="B84" s="2" t="inlineStr">
        <is>
          <t>Will the floor price of CryptoPunks be above 70 ETH on February 1st, 2022?</t>
        </is>
      </c>
      <c r="C84" s="2" t="inlineStr">
        <is>
          <t>2022-02-02 16:50:25</t>
        </is>
      </c>
      <c r="D84" s="2" t="inlineStr">
        <is>
          <t>LONG</t>
        </is>
      </c>
      <c r="E84" s="2" t="inlineStr">
        <is>
          <t>WIN</t>
        </is>
      </c>
      <c r="F84" s="3" t="n">
        <v>0.5285</v>
      </c>
      <c r="G84" s="3" t="n">
        <v>0.5885</v>
      </c>
      <c r="H84" s="3" t="n">
        <v>0.06</v>
      </c>
      <c r="I84" s="2" t="n">
        <v>600</v>
      </c>
      <c r="J84" s="3" t="n">
        <v>0.127253</v>
      </c>
      <c r="K84" s="3" t="n">
        <v>0.031813</v>
      </c>
      <c r="L84" s="4" t="n">
        <v>52.8033</v>
      </c>
      <c r="M84" s="4" t="n">
        <v>99.91160000000001</v>
      </c>
      <c r="N84" s="4" t="n">
        <v>52.8033</v>
      </c>
      <c r="O84" s="4" t="n">
        <v>99.91160000000001</v>
      </c>
      <c r="P84" s="4" t="n">
        <v>47.1083</v>
      </c>
      <c r="Q84" s="4" t="n">
        <v>0.264</v>
      </c>
      <c r="R84" s="4" t="n">
        <v>46.8443</v>
      </c>
      <c r="S84" s="4" t="n">
        <v>1706.6471</v>
      </c>
      <c r="T84" s="4" t="n">
        <v>1706.6471</v>
      </c>
      <c r="U84" s="5" t="n">
        <v>0</v>
      </c>
      <c r="V84" s="5" t="n">
        <v>4.6844</v>
      </c>
    </row>
    <row r="85">
      <c r="A85" s="2" t="n">
        <v>84</v>
      </c>
      <c r="B85" s="2" t="inlineStr">
        <is>
          <t>Will the floor price of Doodles be above 9 ETH on February 1st, 2022?</t>
        </is>
      </c>
      <c r="C85" s="2" t="inlineStr">
        <is>
          <t>2022-02-02 17:17:07</t>
        </is>
      </c>
      <c r="D85" s="2" t="inlineStr">
        <is>
          <t>LONG</t>
        </is>
      </c>
      <c r="E85" s="2" t="inlineStr">
        <is>
          <t>WIN</t>
        </is>
      </c>
      <c r="F85" s="3" t="n">
        <v>0.5891</v>
      </c>
      <c r="G85" s="3" t="n">
        <v>0.6491</v>
      </c>
      <c r="H85" s="3" t="n">
        <v>0.06</v>
      </c>
      <c r="I85" s="2" t="n">
        <v>600</v>
      </c>
      <c r="J85" s="3" t="n">
        <v>0.146021</v>
      </c>
      <c r="K85" s="3" t="n">
        <v>0.036505</v>
      </c>
      <c r="L85" s="4" t="n">
        <v>62.3012</v>
      </c>
      <c r="M85" s="4" t="n">
        <v>105.7565</v>
      </c>
      <c r="N85" s="4" t="n">
        <v>62.3012</v>
      </c>
      <c r="O85" s="4" t="n">
        <v>105.7565</v>
      </c>
      <c r="P85" s="4" t="n">
        <v>43.4553</v>
      </c>
      <c r="Q85" s="4" t="n">
        <v>0.3115</v>
      </c>
      <c r="R85" s="4" t="n">
        <v>43.1438</v>
      </c>
      <c r="S85" s="4" t="n">
        <v>1749.7909</v>
      </c>
      <c r="T85" s="4" t="n">
        <v>1749.7909</v>
      </c>
      <c r="U85" s="5" t="n">
        <v>0</v>
      </c>
      <c r="V85" s="5" t="n">
        <v>4.3144</v>
      </c>
    </row>
    <row r="86">
      <c r="A86" s="2" t="n">
        <v>85</v>
      </c>
      <c r="B86" s="2" t="inlineStr">
        <is>
          <t>Will the floor price of Doodles be above 12 ETH on February 1st, 2022?</t>
        </is>
      </c>
      <c r="C86" s="2" t="inlineStr">
        <is>
          <t>2022-02-02 17:16:39</t>
        </is>
      </c>
      <c r="D86" s="2" t="inlineStr">
        <is>
          <t>LONG</t>
        </is>
      </c>
      <c r="E86" s="2" t="inlineStr">
        <is>
          <t>WIN</t>
        </is>
      </c>
      <c r="F86" s="3" t="n">
        <v>0.5191</v>
      </c>
      <c r="G86" s="3" t="n">
        <v>0.5790999999999999</v>
      </c>
      <c r="H86" s="3" t="n">
        <v>0.06</v>
      </c>
      <c r="I86" s="2" t="n">
        <v>599</v>
      </c>
      <c r="J86" s="3" t="n">
        <v>0.124766</v>
      </c>
      <c r="K86" s="3" t="n">
        <v>0.031192</v>
      </c>
      <c r="L86" s="4" t="n">
        <v>54.5795</v>
      </c>
      <c r="M86" s="4" t="n">
        <v>105.1425</v>
      </c>
      <c r="N86" s="4" t="n">
        <v>54.5795</v>
      </c>
      <c r="O86" s="4" t="n">
        <v>105.1425</v>
      </c>
      <c r="P86" s="4" t="n">
        <v>50.563</v>
      </c>
      <c r="Q86" s="4" t="n">
        <v>0.2729</v>
      </c>
      <c r="R86" s="4" t="n">
        <v>50.2901</v>
      </c>
      <c r="S86" s="4" t="n">
        <v>1800.0811</v>
      </c>
      <c r="T86" s="4" t="n">
        <v>1800.0811</v>
      </c>
      <c r="U86" s="5" t="n">
        <v>0</v>
      </c>
      <c r="V86" s="5" t="n">
        <v>5.029</v>
      </c>
    </row>
    <row r="87">
      <c r="A87" s="2" t="n">
        <v>86</v>
      </c>
      <c r="B87" s="2" t="inlineStr">
        <is>
          <t>Will the price of $SOL be above $100 on February 1st, 2022?</t>
        </is>
      </c>
      <c r="C87" s="2" t="inlineStr">
        <is>
          <t>2022-02-03 01:19:43</t>
        </is>
      </c>
      <c r="D87" s="2" t="inlineStr">
        <is>
          <t>LONG</t>
        </is>
      </c>
      <c r="E87" s="2" t="inlineStr">
        <is>
          <t>WIN</t>
        </is>
      </c>
      <c r="F87" s="3" t="n">
        <v>0.4621</v>
      </c>
      <c r="G87" s="3" t="n">
        <v>0.5221</v>
      </c>
      <c r="H87" s="3" t="n">
        <v>0.06</v>
      </c>
      <c r="I87" s="2" t="n">
        <v>600</v>
      </c>
      <c r="J87" s="3" t="n">
        <v>0.111545</v>
      </c>
      <c r="K87" s="3" t="n">
        <v>0.027886</v>
      </c>
      <c r="L87" s="4" t="n">
        <v>50.1971</v>
      </c>
      <c r="M87" s="4" t="n">
        <v>108.6281</v>
      </c>
      <c r="N87" s="4" t="n">
        <v>50.1971</v>
      </c>
      <c r="O87" s="4" t="n">
        <v>108.6281</v>
      </c>
      <c r="P87" s="4" t="n">
        <v>58.4311</v>
      </c>
      <c r="Q87" s="4" t="n">
        <v>0.251</v>
      </c>
      <c r="R87" s="4" t="n">
        <v>58.1801</v>
      </c>
      <c r="S87" s="4" t="n">
        <v>1858.2612</v>
      </c>
      <c r="T87" s="4" t="n">
        <v>1858.2612</v>
      </c>
      <c r="U87" s="5" t="n">
        <v>0</v>
      </c>
      <c r="V87" s="5" t="n">
        <v>5.818</v>
      </c>
    </row>
    <row r="88">
      <c r="A88" s="6" t="n">
        <v>87</v>
      </c>
      <c r="B88" s="6" t="inlineStr">
        <is>
          <t>What will the price of Solana ($SOL) be on March 1st, 2022?</t>
        </is>
      </c>
      <c r="C88" s="6" t="inlineStr">
        <is>
          <t>2022-03-03 23:58:16</t>
        </is>
      </c>
      <c r="D88" s="6" t="inlineStr">
        <is>
          <t>LONG</t>
        </is>
      </c>
      <c r="E88" s="6" t="inlineStr">
        <is>
          <t>LOSS</t>
        </is>
      </c>
      <c r="F88" s="7" t="n">
        <v>0.4821</v>
      </c>
      <c r="G88" s="7" t="n">
        <v>0.5421</v>
      </c>
      <c r="H88" s="7" t="n">
        <v>0.06</v>
      </c>
      <c r="I88" s="6" t="n">
        <v>600</v>
      </c>
      <c r="J88" s="7" t="n">
        <v>0.115852</v>
      </c>
      <c r="K88" s="7" t="n">
        <v>0.028963</v>
      </c>
      <c r="L88" s="8" t="n">
        <v>53.8208</v>
      </c>
      <c r="M88" s="8" t="n">
        <v>111.6383</v>
      </c>
      <c r="N88" s="8" t="n">
        <v>53.8208</v>
      </c>
      <c r="O88" s="8" t="n">
        <v>0</v>
      </c>
      <c r="P88" s="8" t="n">
        <v>-53.8208</v>
      </c>
      <c r="Q88" s="8" t="n">
        <v>0.2691</v>
      </c>
      <c r="R88" s="8" t="n">
        <v>-54.0899</v>
      </c>
      <c r="S88" s="8" t="n">
        <v>1804.1712</v>
      </c>
      <c r="T88" s="8" t="n">
        <v>1858.2612</v>
      </c>
      <c r="U88" s="9" t="n">
        <v>2.91</v>
      </c>
      <c r="V88" s="9" t="n">
        <v>-5.409</v>
      </c>
    </row>
    <row r="89">
      <c r="A89" s="2" t="n">
        <v>88</v>
      </c>
      <c r="B89" s="2" t="inlineStr">
        <is>
          <t>What will the price of Bitcoin ($BTC) be on March 1st, 2022?</t>
        </is>
      </c>
      <c r="C89" s="2" t="inlineStr">
        <is>
          <t>2022-03-03 23:51:44</t>
        </is>
      </c>
      <c r="D89" s="2" t="inlineStr">
        <is>
          <t>LONG</t>
        </is>
      </c>
      <c r="E89" s="2" t="inlineStr">
        <is>
          <t>WIN</t>
        </is>
      </c>
      <c r="F89" s="3" t="n">
        <v>0.6905</v>
      </c>
      <c r="G89" s="3" t="n">
        <v>0.7504999999999999</v>
      </c>
      <c r="H89" s="3" t="n">
        <v>0.06</v>
      </c>
      <c r="I89" s="2" t="n">
        <v>599</v>
      </c>
      <c r="J89" s="3" t="n">
        <v>0.193861</v>
      </c>
      <c r="K89" s="3" t="n">
        <v>0.048465</v>
      </c>
      <c r="L89" s="4" t="n">
        <v>87.4392</v>
      </c>
      <c r="M89" s="4" t="n">
        <v>126.6317</v>
      </c>
      <c r="N89" s="4" t="n">
        <v>87.4392</v>
      </c>
      <c r="O89" s="4" t="n">
        <v>126.6317</v>
      </c>
      <c r="P89" s="4" t="n">
        <v>39.1925</v>
      </c>
      <c r="Q89" s="4" t="n">
        <v>0.4372</v>
      </c>
      <c r="R89" s="4" t="n">
        <v>38.7553</v>
      </c>
      <c r="S89" s="4" t="n">
        <v>1842.9265</v>
      </c>
      <c r="T89" s="4" t="n">
        <v>1858.2612</v>
      </c>
      <c r="U89" s="5" t="n">
        <v>0.83</v>
      </c>
      <c r="V89" s="5" t="n">
        <v>3.8755</v>
      </c>
    </row>
    <row r="90">
      <c r="A90" s="2" t="n">
        <v>89</v>
      </c>
      <c r="B90" s="2" t="inlineStr">
        <is>
          <t>Will the floor price of Bored Apes be above 79 ETH on February 1st, 2022?</t>
        </is>
      </c>
      <c r="C90" s="2" t="inlineStr">
        <is>
          <t>2022-02-03 01:03:15</t>
        </is>
      </c>
      <c r="D90" s="2" t="inlineStr">
        <is>
          <t>LONG</t>
        </is>
      </c>
      <c r="E90" s="2" t="inlineStr">
        <is>
          <t>WIN</t>
        </is>
      </c>
      <c r="F90" s="3" t="n">
        <v>0.5353</v>
      </c>
      <c r="G90" s="3" t="n">
        <v>0.5953000000000001</v>
      </c>
      <c r="H90" s="3" t="n">
        <v>0.06</v>
      </c>
      <c r="I90" s="2" t="n">
        <v>600</v>
      </c>
      <c r="J90" s="3" t="n">
        <v>0.129116</v>
      </c>
      <c r="K90" s="3" t="n">
        <v>0.032279</v>
      </c>
      <c r="L90" s="4" t="n">
        <v>59.4878</v>
      </c>
      <c r="M90" s="4" t="n">
        <v>111.1299</v>
      </c>
      <c r="N90" s="4" t="n">
        <v>59.4878</v>
      </c>
      <c r="O90" s="4" t="n">
        <v>111.1299</v>
      </c>
      <c r="P90" s="4" t="n">
        <v>51.6421</v>
      </c>
      <c r="Q90" s="4" t="n">
        <v>0.2974</v>
      </c>
      <c r="R90" s="4" t="n">
        <v>51.3446</v>
      </c>
      <c r="S90" s="4" t="n">
        <v>1894.2711</v>
      </c>
      <c r="T90" s="4" t="n">
        <v>1894.2711</v>
      </c>
      <c r="U90" s="5" t="n">
        <v>0</v>
      </c>
      <c r="V90" s="5" t="n">
        <v>5.1345</v>
      </c>
    </row>
    <row r="91">
      <c r="A91" s="2" t="n">
        <v>90</v>
      </c>
      <c r="B91" s="2" t="inlineStr">
        <is>
          <t>Will the floor price of Bored Apes be above 89 ETH on February 1st, 2022?</t>
        </is>
      </c>
      <c r="C91" s="2" t="inlineStr">
        <is>
          <t>2022-02-08 23:31:45</t>
        </is>
      </c>
      <c r="D91" s="2" t="inlineStr">
        <is>
          <t>LONG</t>
        </is>
      </c>
      <c r="E91" s="2" t="inlineStr">
        <is>
          <t>WIN</t>
        </is>
      </c>
      <c r="F91" s="3" t="n">
        <v>0.6584</v>
      </c>
      <c r="G91" s="3" t="n">
        <v>0.7184</v>
      </c>
      <c r="H91" s="3" t="n">
        <v>0.06</v>
      </c>
      <c r="I91" s="2" t="n">
        <v>600</v>
      </c>
      <c r="J91" s="3" t="n">
        <v>0.175644</v>
      </c>
      <c r="K91" s="3" t="n">
        <v>0.043911</v>
      </c>
      <c r="L91" s="4" t="n">
        <v>83.1793</v>
      </c>
      <c r="M91" s="4" t="n">
        <v>126.3356</v>
      </c>
      <c r="N91" s="4" t="n">
        <v>83.1793</v>
      </c>
      <c r="O91" s="4" t="n">
        <v>126.3356</v>
      </c>
      <c r="P91" s="4" t="n">
        <v>43.1562</v>
      </c>
      <c r="Q91" s="4" t="n">
        <v>0.4159</v>
      </c>
      <c r="R91" s="4" t="n">
        <v>42.7403</v>
      </c>
      <c r="S91" s="4" t="n">
        <v>1937.0115</v>
      </c>
      <c r="T91" s="4" t="n">
        <v>1937.0115</v>
      </c>
      <c r="U91" s="5" t="n">
        <v>0</v>
      </c>
      <c r="V91" s="5" t="n">
        <v>4.274</v>
      </c>
    </row>
    <row r="92">
      <c r="A92" s="2" t="n">
        <v>91</v>
      </c>
      <c r="B92" s="2" t="inlineStr">
        <is>
          <t>Will $BTC or $ETH perform better in 2022?</t>
        </is>
      </c>
      <c r="C92" s="2" t="inlineStr">
        <is>
          <t>2023-01-03 04:15:37</t>
        </is>
      </c>
      <c r="D92" s="2" t="inlineStr">
        <is>
          <t>LONG</t>
        </is>
      </c>
      <c r="E92" s="2" t="inlineStr">
        <is>
          <t>WIN</t>
        </is>
      </c>
      <c r="F92" s="3" t="n">
        <v>0.6286</v>
      </c>
      <c r="G92" s="3" t="n">
        <v>0.6886</v>
      </c>
      <c r="H92" s="3" t="n">
        <v>0.06</v>
      </c>
      <c r="I92" s="2" t="n">
        <v>599</v>
      </c>
      <c r="J92" s="3" t="n">
        <v>0.161551</v>
      </c>
      <c r="K92" s="3" t="n">
        <v>0.040388</v>
      </c>
      <c r="L92" s="4" t="n">
        <v>78.232</v>
      </c>
      <c r="M92" s="4" t="n">
        <v>124.4544</v>
      </c>
      <c r="N92" s="4" t="n">
        <v>78.232</v>
      </c>
      <c r="O92" s="4" t="n">
        <v>124.4544</v>
      </c>
      <c r="P92" s="4" t="n">
        <v>46.2224</v>
      </c>
      <c r="Q92" s="4" t="n">
        <v>0.3912</v>
      </c>
      <c r="R92" s="4" t="n">
        <v>45.8312</v>
      </c>
      <c r="S92" s="4" t="n">
        <v>1982.8427</v>
      </c>
      <c r="T92" s="4" t="n">
        <v>1982.8427</v>
      </c>
      <c r="U92" s="5" t="n">
        <v>0</v>
      </c>
      <c r="V92" s="5" t="n">
        <v>4.5831</v>
      </c>
    </row>
    <row r="93">
      <c r="A93" s="2" t="n">
        <v>92</v>
      </c>
      <c r="B93" s="2" t="inlineStr">
        <is>
          <t>Will Bitcoin or Ethereum perform better in February 2022?</t>
        </is>
      </c>
      <c r="C93" s="2" t="inlineStr">
        <is>
          <t>2022-03-02 16:19:33</t>
        </is>
      </c>
      <c r="D93" s="2" t="inlineStr">
        <is>
          <t>LONG</t>
        </is>
      </c>
      <c r="E93" s="2" t="inlineStr">
        <is>
          <t>WIN</t>
        </is>
      </c>
      <c r="F93" s="3" t="n">
        <v>0.5508999999999999</v>
      </c>
      <c r="G93" s="3" t="n">
        <v>0.6109</v>
      </c>
      <c r="H93" s="3" t="n">
        <v>0.06</v>
      </c>
      <c r="I93" s="2" t="n">
        <v>600</v>
      </c>
      <c r="J93" s="3" t="n">
        <v>0.133601</v>
      </c>
      <c r="K93" s="3" t="n">
        <v>0.0334</v>
      </c>
      <c r="L93" s="4" t="n">
        <v>66.2269</v>
      </c>
      <c r="M93" s="4" t="n">
        <v>120.2159</v>
      </c>
      <c r="N93" s="4" t="n">
        <v>66.2269</v>
      </c>
      <c r="O93" s="4" t="n">
        <v>120.2159</v>
      </c>
      <c r="P93" s="4" t="n">
        <v>53.989</v>
      </c>
      <c r="Q93" s="4" t="n">
        <v>0.3311</v>
      </c>
      <c r="R93" s="4" t="n">
        <v>53.6578</v>
      </c>
      <c r="S93" s="4" t="n">
        <v>2036.5005</v>
      </c>
      <c r="T93" s="4" t="n">
        <v>2036.5005</v>
      </c>
      <c r="U93" s="5" t="n">
        <v>0</v>
      </c>
      <c r="V93" s="5" t="n">
        <v>5.3658</v>
      </c>
    </row>
    <row r="94">
      <c r="A94" s="6" t="n">
        <v>93</v>
      </c>
      <c r="B94" s="6" t="inlineStr">
        <is>
          <t>Will the Ethereum Merge (EIP-3675) occur by September 1, 2022?</t>
        </is>
      </c>
      <c r="C94" s="6" t="inlineStr">
        <is>
          <t>2022-09-05 18:30:54</t>
        </is>
      </c>
      <c r="D94" s="6" t="inlineStr">
        <is>
          <t>LONG</t>
        </is>
      </c>
      <c r="E94" s="6" t="inlineStr">
        <is>
          <t>LOSS</t>
        </is>
      </c>
      <c r="F94" s="7" t="n">
        <v>0.3131</v>
      </c>
      <c r="G94" s="7" t="n">
        <v>0.3731</v>
      </c>
      <c r="H94" s="7" t="n">
        <v>0.06</v>
      </c>
      <c r="I94" s="6" t="n">
        <v>600</v>
      </c>
      <c r="J94" s="7" t="n">
        <v>0.087349</v>
      </c>
      <c r="K94" s="7" t="n">
        <v>0.021837</v>
      </c>
      <c r="L94" s="8" t="n">
        <v>44.4711</v>
      </c>
      <c r="M94" s="8" t="n">
        <v>142.0347</v>
      </c>
      <c r="N94" s="8" t="n">
        <v>44.4711</v>
      </c>
      <c r="O94" s="8" t="n">
        <v>0</v>
      </c>
      <c r="P94" s="8" t="n">
        <v>-44.4711</v>
      </c>
      <c r="Q94" s="8" t="n">
        <v>0.2224</v>
      </c>
      <c r="R94" s="8" t="n">
        <v>-44.6934</v>
      </c>
      <c r="S94" s="8" t="n">
        <v>1991.8071</v>
      </c>
      <c r="T94" s="8" t="n">
        <v>2036.5005</v>
      </c>
      <c r="U94" s="9" t="n">
        <v>2.19</v>
      </c>
      <c r="V94" s="9" t="n">
        <v>-4.4693</v>
      </c>
    </row>
    <row r="95">
      <c r="A95" s="6" t="n">
        <v>94</v>
      </c>
      <c r="B95" s="6" t="inlineStr">
        <is>
          <t>Will Opyn (Squeeth) suffer an exploit by March 31st, 2022?</t>
        </is>
      </c>
      <c r="C95" s="6" t="inlineStr">
        <is>
          <t>2022-04-02 07:18:10</t>
        </is>
      </c>
      <c r="D95" s="6" t="inlineStr">
        <is>
          <t>LONG</t>
        </is>
      </c>
      <c r="E95" s="6" t="inlineStr">
        <is>
          <t>LOSS</t>
        </is>
      </c>
      <c r="F95" s="7" t="n">
        <v>0.3214</v>
      </c>
      <c r="G95" s="7" t="n">
        <v>0.3814</v>
      </c>
      <c r="H95" s="7" t="n">
        <v>0.06</v>
      </c>
      <c r="I95" s="6" t="n">
        <v>600</v>
      </c>
      <c r="J95" s="7" t="n">
        <v>0.088417</v>
      </c>
      <c r="K95" s="7" t="n">
        <v>0.022104</v>
      </c>
      <c r="L95" s="8" t="n">
        <v>44.0269</v>
      </c>
      <c r="M95" s="8" t="n">
        <v>136.9848</v>
      </c>
      <c r="N95" s="8" t="n">
        <v>44.0269</v>
      </c>
      <c r="O95" s="8" t="n">
        <v>0</v>
      </c>
      <c r="P95" s="8" t="n">
        <v>-44.0269</v>
      </c>
      <c r="Q95" s="8" t="n">
        <v>0.2201</v>
      </c>
      <c r="R95" s="8" t="n">
        <v>-44.247</v>
      </c>
      <c r="S95" s="8" t="n">
        <v>1947.5601</v>
      </c>
      <c r="T95" s="8" t="n">
        <v>2036.5005</v>
      </c>
      <c r="U95" s="9" t="n">
        <v>4.37</v>
      </c>
      <c r="V95" s="9" t="n">
        <v>-4.4247</v>
      </c>
    </row>
    <row r="96">
      <c r="A96" s="6" t="n">
        <v>95</v>
      </c>
      <c r="B96" s="6" t="inlineStr">
        <is>
          <t>Will Joe Biden's FiveThirtyEight approval rating be 41.7% or more on February 9?</t>
        </is>
      </c>
      <c r="C96" s="6" t="inlineStr">
        <is>
          <t>2022-02-10 21:58:44</t>
        </is>
      </c>
      <c r="D96" s="6" t="inlineStr">
        <is>
          <t>LONG</t>
        </is>
      </c>
      <c r="E96" s="6" t="inlineStr">
        <is>
          <t>LOSS</t>
        </is>
      </c>
      <c r="F96" s="7" t="n">
        <v>0.3284</v>
      </c>
      <c r="G96" s="7" t="n">
        <v>0.3884</v>
      </c>
      <c r="H96" s="7" t="n">
        <v>0.06</v>
      </c>
      <c r="I96" s="6" t="n">
        <v>600</v>
      </c>
      <c r="J96" s="7" t="n">
        <v>0.089339</v>
      </c>
      <c r="K96" s="7" t="n">
        <v>0.022335</v>
      </c>
      <c r="L96" s="8" t="n">
        <v>43.4988</v>
      </c>
      <c r="M96" s="8" t="n">
        <v>132.4566</v>
      </c>
      <c r="N96" s="8" t="n">
        <v>43.4988</v>
      </c>
      <c r="O96" s="8" t="n">
        <v>0</v>
      </c>
      <c r="P96" s="8" t="n">
        <v>-43.4988</v>
      </c>
      <c r="Q96" s="8" t="n">
        <v>0.2175</v>
      </c>
      <c r="R96" s="8" t="n">
        <v>-43.7162</v>
      </c>
      <c r="S96" s="8" t="n">
        <v>1903.8438</v>
      </c>
      <c r="T96" s="8" t="n">
        <v>2036.5005</v>
      </c>
      <c r="U96" s="9" t="n">
        <v>6.51</v>
      </c>
      <c r="V96" s="9" t="n">
        <v>-4.3716</v>
      </c>
    </row>
    <row r="97">
      <c r="A97" s="2" t="n">
        <v>96</v>
      </c>
      <c r="B97" s="2" t="inlineStr">
        <is>
          <t>Will Ethereum reach $3000 by Valentine's Day?</t>
        </is>
      </c>
      <c r="C97" s="2" t="inlineStr">
        <is>
          <t>2022-02-10 20:57:51</t>
        </is>
      </c>
      <c r="D97" s="2" t="inlineStr">
        <is>
          <t>LONG</t>
        </is>
      </c>
      <c r="E97" s="2" t="inlineStr">
        <is>
          <t>WIN</t>
        </is>
      </c>
      <c r="F97" s="3" t="n">
        <v>0.6861</v>
      </c>
      <c r="G97" s="3" t="n">
        <v>0.7461</v>
      </c>
      <c r="H97" s="3" t="n">
        <v>0.06</v>
      </c>
      <c r="I97" s="2" t="n">
        <v>599</v>
      </c>
      <c r="J97" s="3" t="n">
        <v>0.191144</v>
      </c>
      <c r="K97" s="3" t="n">
        <v>0.047786</v>
      </c>
      <c r="L97" s="4" t="n">
        <v>90.97709999999999</v>
      </c>
      <c r="M97" s="4" t="n">
        <v>132.6003</v>
      </c>
      <c r="N97" s="4" t="n">
        <v>90.97709999999999</v>
      </c>
      <c r="O97" s="4" t="n">
        <v>132.6003</v>
      </c>
      <c r="P97" s="4" t="n">
        <v>41.6232</v>
      </c>
      <c r="Q97" s="4" t="n">
        <v>0.4549</v>
      </c>
      <c r="R97" s="4" t="n">
        <v>41.1684</v>
      </c>
      <c r="S97" s="4" t="n">
        <v>1945.0122</v>
      </c>
      <c r="T97" s="4" t="n">
        <v>2036.5005</v>
      </c>
      <c r="U97" s="5" t="n">
        <v>4.49</v>
      </c>
      <c r="V97" s="5" t="n">
        <v>4.1168</v>
      </c>
    </row>
    <row r="98">
      <c r="A98" s="6" t="n">
        <v>97</v>
      </c>
      <c r="B98" s="6" t="inlineStr">
        <is>
          <t>Will the floor price of Bored Apes be above 100 ETH on Valentine's Day?</t>
        </is>
      </c>
      <c r="C98" s="6" t="inlineStr">
        <is>
          <t>2022-02-14 22:59:00</t>
        </is>
      </c>
      <c r="D98" s="6" t="inlineStr">
        <is>
          <t>LONG</t>
        </is>
      </c>
      <c r="E98" s="6" t="inlineStr">
        <is>
          <t>LOSS</t>
        </is>
      </c>
      <c r="F98" s="7" t="n">
        <v>0.3638</v>
      </c>
      <c r="G98" s="7" t="n">
        <v>0.4238</v>
      </c>
      <c r="H98" s="7" t="n">
        <v>0.06</v>
      </c>
      <c r="I98" s="6" t="n">
        <v>600</v>
      </c>
      <c r="J98" s="7" t="n">
        <v>0.09431</v>
      </c>
      <c r="K98" s="7" t="n">
        <v>0.023577</v>
      </c>
      <c r="L98" s="8" t="n">
        <v>45.8576</v>
      </c>
      <c r="M98" s="8" t="n">
        <v>126.0515</v>
      </c>
      <c r="N98" s="8" t="n">
        <v>45.8576</v>
      </c>
      <c r="O98" s="8" t="n">
        <v>0</v>
      </c>
      <c r="P98" s="8" t="n">
        <v>-45.8576</v>
      </c>
      <c r="Q98" s="8" t="n">
        <v>0.2293</v>
      </c>
      <c r="R98" s="8" t="n">
        <v>-46.0868</v>
      </c>
      <c r="S98" s="8" t="n">
        <v>1898.9253</v>
      </c>
      <c r="T98" s="8" t="n">
        <v>2036.5005</v>
      </c>
      <c r="U98" s="9" t="n">
        <v>6.76</v>
      </c>
      <c r="V98" s="9" t="n">
        <v>-4.6087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5" customWidth="1" min="3" max="3"/>
  </cols>
  <sheetData>
    <row r="1">
      <c r="A1" s="10" t="inlineStr">
        <is>
          <t>PolyAlpha Protocol — Backtest Summary</t>
        </is>
      </c>
    </row>
    <row r="2">
      <c r="A2" s="11" t="inlineStr">
        <is>
          <t>Generated: 2026-05-12T18:33:21.656400+00:00</t>
        </is>
      </c>
    </row>
    <row r="3">
      <c r="A3" t="inlineStr">
        <is>
          <t>Data Source: polymarket_gamma_api_reconstructed</t>
        </is>
      </c>
    </row>
    <row r="4">
      <c r="A4" t="inlineStr">
        <is>
          <t>Period: Historical closed markets (2020-2026)</t>
        </is>
      </c>
    </row>
    <row r="6">
      <c r="A6" s="12" t="inlineStr">
        <is>
          <t>PERFORMANCE METRICS</t>
        </is>
      </c>
    </row>
    <row r="7">
      <c r="A7" s="13" t="inlineStr">
        <is>
          <t>Starting Balance</t>
        </is>
      </c>
      <c r="B7" t="inlineStr">
        <is>
          <t>$1,000.00</t>
        </is>
      </c>
      <c r="C7" s="11" t="inlineStr">
        <is>
          <t>Initial paper portfolio</t>
        </is>
      </c>
    </row>
    <row r="8">
      <c r="A8" s="13" t="inlineStr">
        <is>
          <t>Ending Balance</t>
        </is>
      </c>
      <c r="B8" t="inlineStr">
        <is>
          <t>$1,898.93</t>
        </is>
      </c>
      <c r="C8" s="11" t="inlineStr">
        <is>
          <t>Final portfolio value</t>
        </is>
      </c>
    </row>
    <row r="9">
      <c r="A9" s="13" t="inlineStr">
        <is>
          <t>Total PnL</t>
        </is>
      </c>
      <c r="B9" t="inlineStr">
        <is>
          <t>$898.93 (+89.89%)</t>
        </is>
      </c>
      <c r="C9" s="11" t="inlineStr">
        <is>
          <t>Net profit/loss after slippage</t>
        </is>
      </c>
    </row>
    <row r="10">
      <c r="A10" s="14" t="inlineStr"/>
      <c r="B10" t="inlineStr"/>
    </row>
    <row r="11">
      <c r="A11" s="12" t="inlineStr">
        <is>
          <t>TRADE STATISTICS</t>
        </is>
      </c>
    </row>
    <row r="12">
      <c r="A12" s="13" t="inlineStr">
        <is>
          <t>Total Trades</t>
        </is>
      </c>
      <c r="B12" t="inlineStr">
        <is>
          <t>97</t>
        </is>
      </c>
      <c r="C12" s="11" t="inlineStr">
        <is>
          <t>Markets where signal fired &amp; edge &gt; 3%</t>
        </is>
      </c>
    </row>
    <row r="13">
      <c r="A13" s="13" t="inlineStr">
        <is>
          <t>Wins</t>
        </is>
      </c>
      <c r="B13" t="inlineStr">
        <is>
          <t>61</t>
        </is>
      </c>
      <c r="C13" s="11" t="inlineStr">
        <is>
          <t>Trades where payout &gt; cost</t>
        </is>
      </c>
    </row>
    <row r="14">
      <c r="A14" s="13" t="inlineStr">
        <is>
          <t>Losses</t>
        </is>
      </c>
      <c r="B14" t="inlineStr">
        <is>
          <t>36</t>
        </is>
      </c>
      <c r="C14" s="11" t="inlineStr">
        <is>
          <t>Trades where payout = $0</t>
        </is>
      </c>
    </row>
    <row r="15">
      <c r="A15" s="13" t="inlineStr">
        <is>
          <t>Win Rate</t>
        </is>
      </c>
      <c r="B15" t="inlineStr">
        <is>
          <t>62.9%</t>
        </is>
      </c>
      <c r="C15" s="11">
        <f> Wins / Total Trades × 100</f>
        <v/>
      </c>
    </row>
    <row r="16">
      <c r="A16" s="13" t="inlineStr">
        <is>
          <t>Avg Win</t>
        </is>
      </c>
      <c r="B16" t="inlineStr">
        <is>
          <t>$36.36</t>
        </is>
      </c>
      <c r="C16" s="11" t="inlineStr">
        <is>
          <t>Average profit on winning trades</t>
        </is>
      </c>
    </row>
    <row r="17">
      <c r="A17" s="13" t="inlineStr">
        <is>
          <t>Avg Loss</t>
        </is>
      </c>
      <c r="B17" t="inlineStr">
        <is>
          <t>$-36.65</t>
        </is>
      </c>
      <c r="C17" s="11" t="inlineStr">
        <is>
          <t>Average loss on losing trades</t>
        </is>
      </c>
    </row>
    <row r="18">
      <c r="A18" s="14" t="inlineStr"/>
      <c r="B18" t="inlineStr"/>
    </row>
    <row r="19">
      <c r="A19" s="12" t="inlineStr">
        <is>
          <t>RISK METRICS</t>
        </is>
      </c>
    </row>
    <row r="20">
      <c r="A20" s="13" t="inlineStr">
        <is>
          <t>Sharpe Ratio</t>
        </is>
      </c>
      <c r="B20" t="inlineStr">
        <is>
          <t>2.53</t>
        </is>
      </c>
      <c r="C20" s="11">
        <f> mean(returns) / std(returns) × sqrt(97)</f>
        <v/>
      </c>
    </row>
    <row r="21">
      <c r="A21" s="13" t="inlineStr">
        <is>
          <t xml:space="preserve">  Mean Return/Trade</t>
        </is>
      </c>
      <c r="B21" t="inlineStr">
        <is>
          <t>0.9267%</t>
        </is>
      </c>
      <c r="C21" s="11" t="inlineStr">
        <is>
          <t>Average per-trade return as % of starting balance</t>
        </is>
      </c>
    </row>
    <row r="22">
      <c r="A22" s="13" t="inlineStr">
        <is>
          <t xml:space="preserve">  Std Return/Trade</t>
        </is>
      </c>
      <c r="B22" t="inlineStr">
        <is>
          <t>3.6021%</t>
        </is>
      </c>
      <c r="C22" s="11" t="inlineStr">
        <is>
          <t>Standard deviation of per-trade returns</t>
        </is>
      </c>
    </row>
    <row r="23">
      <c r="A23" s="13" t="inlineStr">
        <is>
          <t xml:space="preserve">  Annualization</t>
        </is>
      </c>
      <c r="B23" t="inlineStr">
        <is>
          <t>sqrt(97)</t>
        </is>
      </c>
      <c r="C23" s="11" t="inlineStr">
        <is>
          <t>Square root of number of trades</t>
        </is>
      </c>
    </row>
    <row r="24">
      <c r="A24" s="13" t="inlineStr">
        <is>
          <t>Max Drawdown</t>
        </is>
      </c>
      <c r="B24" t="inlineStr">
        <is>
          <t>13.09%</t>
        </is>
      </c>
      <c r="C24" s="11" t="inlineStr">
        <is>
          <t>Largest peak-to-trough decline in equity</t>
        </is>
      </c>
    </row>
    <row r="25">
      <c r="A25" s="13" t="inlineStr">
        <is>
          <t>Profit Factor</t>
        </is>
      </c>
      <c r="B25" t="inlineStr">
        <is>
          <t>1.68</t>
        </is>
      </c>
      <c r="C25" s="11">
        <f> Gross Profit / |Gross Loss|</f>
        <v/>
      </c>
    </row>
    <row r="26">
      <c r="A26" s="13" t="inlineStr">
        <is>
          <t>Gross Profit</t>
        </is>
      </c>
      <c r="B26" t="inlineStr">
        <is>
          <t>$2,218.23</t>
        </is>
      </c>
      <c r="C26" s="11" t="inlineStr">
        <is>
          <t>Sum of all winning trade net PnL</t>
        </is>
      </c>
    </row>
    <row r="27">
      <c r="A27" s="13" t="inlineStr">
        <is>
          <t>Gross Loss</t>
        </is>
      </c>
      <c r="B27" t="inlineStr">
        <is>
          <t>$1,319.30</t>
        </is>
      </c>
      <c r="C27" s="11" t="inlineStr">
        <is>
          <t>Sum of all losing trade net PnL (absolute)</t>
        </is>
      </c>
    </row>
    <row r="28">
      <c r="A28" s="14" t="inlineStr"/>
      <c r="B28" t="inlineStr"/>
    </row>
    <row r="29">
      <c r="A29" s="12" t="inlineStr">
        <is>
          <t>STRATEGY PARAMETERS</t>
        </is>
      </c>
    </row>
    <row r="30">
      <c r="A30" s="13" t="inlineStr">
        <is>
          <t>Kelly Fraction</t>
        </is>
      </c>
      <c r="B30" t="inlineStr">
        <is>
          <t>0.25 (Quarter-Kelly)</t>
        </is>
      </c>
      <c r="C30" s="11" t="inlineStr">
        <is>
          <t>Position sizing = 25% of Full Kelly</t>
        </is>
      </c>
    </row>
    <row r="31">
      <c r="A31" s="13" t="inlineStr">
        <is>
          <t>Slippage</t>
        </is>
      </c>
      <c r="B31" t="inlineStr">
        <is>
          <t>0.5%</t>
        </is>
      </c>
      <c r="C31" s="11" t="inlineStr">
        <is>
          <t>Simulated per-trade slippage deducted from PnL</t>
        </is>
      </c>
    </row>
    <row r="32">
      <c r="A32" s="13" t="inlineStr">
        <is>
          <t>Min Edge</t>
        </is>
      </c>
      <c r="B32" t="inlineStr">
        <is>
          <t>300 bps (3.0%)</t>
        </is>
      </c>
      <c r="C32" s="11" t="inlineStr">
        <is>
          <t>Minimum edge to trigger a trade</t>
        </is>
      </c>
    </row>
    <row r="33">
      <c r="A33" s="13" t="inlineStr">
        <is>
          <t>Momentum Scale</t>
        </is>
      </c>
      <c r="B33" t="inlineStr">
        <is>
          <t>15.0</t>
        </is>
      </c>
      <c r="C33" s="11" t="inlineStr">
        <is>
          <t>BTC momentum to probability scaling factor</t>
        </is>
      </c>
    </row>
    <row r="34">
      <c r="A34" s="13" t="inlineStr">
        <is>
          <t>RNG Seed</t>
        </is>
      </c>
      <c r="B34" t="inlineStr">
        <is>
          <t>42</t>
        </is>
      </c>
      <c r="C34" s="11" t="inlineStr">
        <is>
          <t>For reproducible entry price reconstruction</t>
        </is>
      </c>
    </row>
    <row r="35">
      <c r="A35" s="14" t="inlineStr"/>
      <c r="B35" t="inlineStr"/>
    </row>
    <row r="36">
      <c r="A36" s="12" t="inlineStr">
        <is>
          <t>HYPOTHESIS VALIDATION</t>
        </is>
      </c>
    </row>
    <row r="37">
      <c r="A37" s="13" t="inlineStr">
        <is>
          <t>Status</t>
        </is>
      </c>
      <c r="B37" t="inlineStr">
        <is>
          <t>ALIVE</t>
        </is>
      </c>
      <c r="C37" s="11" t="inlineStr">
        <is>
          <t>ALIVE = hypothesis not rejected by kill criteria</t>
        </is>
      </c>
    </row>
    <row r="38">
      <c r="A38" s="13" t="inlineStr">
        <is>
          <t>Kill Reason</t>
        </is>
      </c>
      <c r="B38" t="inlineStr">
        <is>
          <t>None</t>
        </is>
      </c>
    </row>
    <row r="39">
      <c r="A39" s="13" t="inlineStr">
        <is>
          <t>Kill WR Threshold</t>
        </is>
      </c>
      <c r="B39" t="inlineStr">
        <is>
          <t>&lt; 52.0% after 50 trades</t>
        </is>
      </c>
    </row>
    <row r="40">
      <c r="A40" s="13" t="inlineStr">
        <is>
          <t>Kill DD Threshold</t>
        </is>
      </c>
      <c r="B40" t="inlineStr">
        <is>
          <t>&gt; 25.0%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5" t="inlineStr">
        <is>
          <t>Trade #</t>
        </is>
      </c>
      <c r="B1" s="15" t="inlineStr">
        <is>
          <t>Balance ($)</t>
        </is>
      </c>
      <c r="C1" s="15" t="inlineStr">
        <is>
          <t>Peak ($)</t>
        </is>
      </c>
      <c r="D1" s="15" t="inlineStr">
        <is>
          <t>Drawdown %</t>
        </is>
      </c>
      <c r="E1" s="15" t="inlineStr">
        <is>
          <t>Cumulative PnL %</t>
        </is>
      </c>
    </row>
    <row r="2">
      <c r="A2" t="n">
        <v>0</v>
      </c>
      <c r="B2" t="n">
        <v>1000</v>
      </c>
      <c r="C2" t="n">
        <v>1000</v>
      </c>
      <c r="D2" t="n">
        <v>0</v>
      </c>
      <c r="E2" t="n">
        <v>0</v>
      </c>
    </row>
    <row r="3">
      <c r="A3" t="n">
        <v>1</v>
      </c>
      <c r="B3" s="16" t="n">
        <v>1021.7648</v>
      </c>
      <c r="C3" s="16" t="n">
        <v>1021.7648</v>
      </c>
      <c r="D3" s="17" t="n">
        <v>0</v>
      </c>
      <c r="E3" s="17" t="n">
        <v>2.18</v>
      </c>
    </row>
    <row r="4">
      <c r="A4" t="n">
        <v>2</v>
      </c>
      <c r="B4" s="16" t="n">
        <v>1053.8576</v>
      </c>
      <c r="C4" s="16" t="n">
        <v>1053.8576</v>
      </c>
      <c r="D4" s="17" t="n">
        <v>0</v>
      </c>
      <c r="E4" s="17" t="n">
        <v>5.39</v>
      </c>
    </row>
    <row r="5">
      <c r="A5" t="n">
        <v>3</v>
      </c>
      <c r="B5" s="16" t="n">
        <v>1077.4954</v>
      </c>
      <c r="C5" s="16" t="n">
        <v>1077.4954</v>
      </c>
      <c r="D5" s="17" t="n">
        <v>0</v>
      </c>
      <c r="E5" s="17" t="n">
        <v>7.75</v>
      </c>
    </row>
    <row r="6">
      <c r="A6" t="n">
        <v>4</v>
      </c>
      <c r="B6" s="16" t="n">
        <v>1110.6911</v>
      </c>
      <c r="C6" s="16" t="n">
        <v>1110.6911</v>
      </c>
      <c r="D6" s="17" t="n">
        <v>0</v>
      </c>
      <c r="E6" s="17" t="n">
        <v>11.07</v>
      </c>
    </row>
    <row r="7">
      <c r="A7" t="n">
        <v>5</v>
      </c>
      <c r="B7" s="16" t="n">
        <v>1139.6436</v>
      </c>
      <c r="C7" s="16" t="n">
        <v>1139.6436</v>
      </c>
      <c r="D7" s="17" t="n">
        <v>0</v>
      </c>
      <c r="E7" s="17" t="n">
        <v>13.96</v>
      </c>
    </row>
    <row r="8">
      <c r="A8" t="n">
        <v>6</v>
      </c>
      <c r="B8" s="16" t="n">
        <v>1103.0751</v>
      </c>
      <c r="C8" s="16" t="n">
        <v>1139.6436</v>
      </c>
      <c r="D8" s="17" t="n">
        <v>3.21</v>
      </c>
      <c r="E8" s="17" t="n">
        <v>10.31</v>
      </c>
    </row>
    <row r="9">
      <c r="A9" t="n">
        <v>7</v>
      </c>
      <c r="B9" s="16" t="n">
        <v>1135.2604</v>
      </c>
      <c r="C9" s="16" t="n">
        <v>1139.6436</v>
      </c>
      <c r="D9" s="17" t="n">
        <v>0.38</v>
      </c>
      <c r="E9" s="17" t="n">
        <v>13.53</v>
      </c>
    </row>
    <row r="10">
      <c r="A10" t="n">
        <v>8</v>
      </c>
      <c r="B10" s="16" t="n">
        <v>1162.4801</v>
      </c>
      <c r="C10" s="16" t="n">
        <v>1162.4801</v>
      </c>
      <c r="D10" s="17" t="n">
        <v>0</v>
      </c>
      <c r="E10" s="17" t="n">
        <v>16.25</v>
      </c>
    </row>
    <row r="11">
      <c r="A11" t="n">
        <v>9</v>
      </c>
      <c r="B11" s="16" t="n">
        <v>1125.8868</v>
      </c>
      <c r="C11" s="16" t="n">
        <v>1162.4801</v>
      </c>
      <c r="D11" s="17" t="n">
        <v>3.15</v>
      </c>
      <c r="E11" s="17" t="n">
        <v>12.59</v>
      </c>
    </row>
    <row r="12">
      <c r="A12" t="n">
        <v>10</v>
      </c>
      <c r="B12" s="16" t="n">
        <v>1092.5942</v>
      </c>
      <c r="C12" s="16" t="n">
        <v>1162.4801</v>
      </c>
      <c r="D12" s="17" t="n">
        <v>6.01</v>
      </c>
      <c r="E12" s="17" t="n">
        <v>9.26</v>
      </c>
    </row>
    <row r="13">
      <c r="A13" t="n">
        <v>11</v>
      </c>
      <c r="B13" s="16" t="n">
        <v>1125.0379</v>
      </c>
      <c r="C13" s="16" t="n">
        <v>1162.4801</v>
      </c>
      <c r="D13" s="17" t="n">
        <v>3.22</v>
      </c>
      <c r="E13" s="17" t="n">
        <v>12.5</v>
      </c>
    </row>
    <row r="14">
      <c r="A14" t="n">
        <v>12</v>
      </c>
      <c r="B14" s="16" t="n">
        <v>1101.0905</v>
      </c>
      <c r="C14" s="16" t="n">
        <v>1162.4801</v>
      </c>
      <c r="D14" s="17" t="n">
        <v>5.28</v>
      </c>
      <c r="E14" s="17" t="n">
        <v>10.11</v>
      </c>
    </row>
    <row r="15">
      <c r="A15" t="n">
        <v>13</v>
      </c>
      <c r="B15" s="16" t="n">
        <v>1134.5182</v>
      </c>
      <c r="C15" s="16" t="n">
        <v>1162.4801</v>
      </c>
      <c r="D15" s="17" t="n">
        <v>2.41</v>
      </c>
      <c r="E15" s="17" t="n">
        <v>13.45</v>
      </c>
    </row>
    <row r="16">
      <c r="A16" t="n">
        <v>14</v>
      </c>
      <c r="B16" s="16" t="n">
        <v>1160.4111</v>
      </c>
      <c r="C16" s="16" t="n">
        <v>1162.4801</v>
      </c>
      <c r="D16" s="17" t="n">
        <v>0.18</v>
      </c>
      <c r="E16" s="17" t="n">
        <v>16.04</v>
      </c>
    </row>
    <row r="17">
      <c r="A17" t="n">
        <v>15</v>
      </c>
      <c r="B17" s="16" t="n">
        <v>1191.865</v>
      </c>
      <c r="C17" s="16" t="n">
        <v>1191.865</v>
      </c>
      <c r="D17" s="17" t="n">
        <v>0</v>
      </c>
      <c r="E17" s="17" t="n">
        <v>19.19</v>
      </c>
    </row>
    <row r="18">
      <c r="A18" t="n">
        <v>16</v>
      </c>
      <c r="B18" s="16" t="n">
        <v>1222.6487</v>
      </c>
      <c r="C18" s="16" t="n">
        <v>1222.6487</v>
      </c>
      <c r="D18" s="17" t="n">
        <v>0</v>
      </c>
      <c r="E18" s="17" t="n">
        <v>22.26</v>
      </c>
    </row>
    <row r="19">
      <c r="A19" t="n">
        <v>17</v>
      </c>
      <c r="B19" s="16" t="n">
        <v>1259.0562</v>
      </c>
      <c r="C19" s="16" t="n">
        <v>1259.0562</v>
      </c>
      <c r="D19" s="17" t="n">
        <v>0</v>
      </c>
      <c r="E19" s="17" t="n">
        <v>25.91</v>
      </c>
    </row>
    <row r="20">
      <c r="A20" t="n">
        <v>18</v>
      </c>
      <c r="B20" s="16" t="n">
        <v>1288.7397</v>
      </c>
      <c r="C20" s="16" t="n">
        <v>1288.7397</v>
      </c>
      <c r="D20" s="17" t="n">
        <v>0</v>
      </c>
      <c r="E20" s="17" t="n">
        <v>28.87</v>
      </c>
    </row>
    <row r="21">
      <c r="A21" t="n">
        <v>19</v>
      </c>
      <c r="B21" s="16" t="n">
        <v>1317.0894</v>
      </c>
      <c r="C21" s="16" t="n">
        <v>1317.0894</v>
      </c>
      <c r="D21" s="17" t="n">
        <v>0</v>
      </c>
      <c r="E21" s="17" t="n">
        <v>31.71</v>
      </c>
    </row>
    <row r="22">
      <c r="A22" t="n">
        <v>20</v>
      </c>
      <c r="B22" s="16" t="n">
        <v>1347.7286</v>
      </c>
      <c r="C22" s="16" t="n">
        <v>1347.7286</v>
      </c>
      <c r="D22" s="17" t="n">
        <v>0</v>
      </c>
      <c r="E22" s="17" t="n">
        <v>34.77</v>
      </c>
    </row>
    <row r="23">
      <c r="A23" t="n">
        <v>21</v>
      </c>
      <c r="B23" s="16" t="n">
        <v>1316.0923</v>
      </c>
      <c r="C23" s="16" t="n">
        <v>1347.7286</v>
      </c>
      <c r="D23" s="17" t="n">
        <v>2.35</v>
      </c>
      <c r="E23" s="17" t="n">
        <v>31.61</v>
      </c>
    </row>
    <row r="24">
      <c r="A24" t="n">
        <v>22</v>
      </c>
      <c r="B24" s="16" t="n">
        <v>1356.3785</v>
      </c>
      <c r="C24" s="16" t="n">
        <v>1356.3785</v>
      </c>
      <c r="D24" s="17" t="n">
        <v>0</v>
      </c>
      <c r="E24" s="17" t="n">
        <v>35.64</v>
      </c>
    </row>
    <row r="25">
      <c r="A25" t="n">
        <v>23</v>
      </c>
      <c r="B25" s="16" t="n">
        <v>1401.205</v>
      </c>
      <c r="C25" s="16" t="n">
        <v>1401.205</v>
      </c>
      <c r="D25" s="17" t="n">
        <v>0</v>
      </c>
      <c r="E25" s="17" t="n">
        <v>40.12</v>
      </c>
    </row>
    <row r="26">
      <c r="A26" t="n">
        <v>24</v>
      </c>
      <c r="B26" s="16" t="n">
        <v>1434.31</v>
      </c>
      <c r="C26" s="16" t="n">
        <v>1434.31</v>
      </c>
      <c r="D26" s="17" t="n">
        <v>0</v>
      </c>
      <c r="E26" s="17" t="n">
        <v>43.43</v>
      </c>
    </row>
    <row r="27">
      <c r="A27" t="n">
        <v>25</v>
      </c>
      <c r="B27" s="16" t="n">
        <v>1402.9319</v>
      </c>
      <c r="C27" s="16" t="n">
        <v>1434.31</v>
      </c>
      <c r="D27" s="17" t="n">
        <v>2.19</v>
      </c>
      <c r="E27" s="17" t="n">
        <v>40.29</v>
      </c>
    </row>
    <row r="28">
      <c r="A28" t="n">
        <v>26</v>
      </c>
      <c r="B28" s="16" t="n">
        <v>1439.142</v>
      </c>
      <c r="C28" s="16" t="n">
        <v>1439.142</v>
      </c>
      <c r="D28" s="17" t="n">
        <v>0</v>
      </c>
      <c r="E28" s="17" t="n">
        <v>43.91</v>
      </c>
    </row>
    <row r="29">
      <c r="A29" t="n">
        <v>27</v>
      </c>
      <c r="B29" s="16" t="n">
        <v>1405.1313</v>
      </c>
      <c r="C29" s="16" t="n">
        <v>1439.142</v>
      </c>
      <c r="D29" s="17" t="n">
        <v>2.36</v>
      </c>
      <c r="E29" s="17" t="n">
        <v>40.51</v>
      </c>
    </row>
    <row r="30">
      <c r="A30" t="n">
        <v>28</v>
      </c>
      <c r="B30" s="16" t="n">
        <v>1375.3687</v>
      </c>
      <c r="C30" s="16" t="n">
        <v>1439.142</v>
      </c>
      <c r="D30" s="17" t="n">
        <v>4.43</v>
      </c>
      <c r="E30" s="17" t="n">
        <v>37.54</v>
      </c>
    </row>
    <row r="31">
      <c r="A31" t="n">
        <v>29</v>
      </c>
      <c r="B31" s="16" t="n">
        <v>1411.9545</v>
      </c>
      <c r="C31" s="16" t="n">
        <v>1439.142</v>
      </c>
      <c r="D31" s="17" t="n">
        <v>1.89</v>
      </c>
      <c r="E31" s="17" t="n">
        <v>41.2</v>
      </c>
    </row>
    <row r="32">
      <c r="A32" t="n">
        <v>30</v>
      </c>
      <c r="B32" s="16" t="n">
        <v>1368.4801</v>
      </c>
      <c r="C32" s="16" t="n">
        <v>1439.142</v>
      </c>
      <c r="D32" s="17" t="n">
        <v>4.91</v>
      </c>
      <c r="E32" s="17" t="n">
        <v>36.85</v>
      </c>
    </row>
    <row r="33">
      <c r="A33" t="n">
        <v>31</v>
      </c>
      <c r="B33" s="16" t="n">
        <v>1337.0705</v>
      </c>
      <c r="C33" s="16" t="n">
        <v>1439.142</v>
      </c>
      <c r="D33" s="17" t="n">
        <v>7.09</v>
      </c>
      <c r="E33" s="17" t="n">
        <v>33.71</v>
      </c>
    </row>
    <row r="34">
      <c r="A34" t="n">
        <v>32</v>
      </c>
      <c r="B34" s="16" t="n">
        <v>1305.6105</v>
      </c>
      <c r="C34" s="16" t="n">
        <v>1439.142</v>
      </c>
      <c r="D34" s="17" t="n">
        <v>9.279999999999999</v>
      </c>
      <c r="E34" s="17" t="n">
        <v>30.56</v>
      </c>
    </row>
    <row r="35">
      <c r="A35" t="n">
        <v>33</v>
      </c>
      <c r="B35" s="16" t="n">
        <v>1269.2498</v>
      </c>
      <c r="C35" s="16" t="n">
        <v>1439.142</v>
      </c>
      <c r="D35" s="17" t="n">
        <v>11.81</v>
      </c>
      <c r="E35" s="17" t="n">
        <v>26.92</v>
      </c>
    </row>
    <row r="36">
      <c r="A36" t="n">
        <v>34</v>
      </c>
      <c r="B36" s="16" t="n">
        <v>1297.7407</v>
      </c>
      <c r="C36" s="16" t="n">
        <v>1439.142</v>
      </c>
      <c r="D36" s="17" t="n">
        <v>9.83</v>
      </c>
      <c r="E36" s="17" t="n">
        <v>29.77</v>
      </c>
    </row>
    <row r="37">
      <c r="A37" t="n">
        <v>35</v>
      </c>
      <c r="B37" s="16" t="n">
        <v>1328.4062</v>
      </c>
      <c r="C37" s="16" t="n">
        <v>1439.142</v>
      </c>
      <c r="D37" s="17" t="n">
        <v>7.69</v>
      </c>
      <c r="E37" s="17" t="n">
        <v>32.84</v>
      </c>
    </row>
    <row r="38">
      <c r="A38" t="n">
        <v>36</v>
      </c>
      <c r="B38" s="16" t="n">
        <v>1363.7816</v>
      </c>
      <c r="C38" s="16" t="n">
        <v>1439.142</v>
      </c>
      <c r="D38" s="17" t="n">
        <v>5.24</v>
      </c>
      <c r="E38" s="17" t="n">
        <v>36.38</v>
      </c>
    </row>
    <row r="39">
      <c r="A39" t="n">
        <v>37</v>
      </c>
      <c r="B39" s="16" t="n">
        <v>1322.68</v>
      </c>
      <c r="C39" s="16" t="n">
        <v>1439.142</v>
      </c>
      <c r="D39" s="17" t="n">
        <v>8.09</v>
      </c>
      <c r="E39" s="17" t="n">
        <v>32.27</v>
      </c>
    </row>
    <row r="40">
      <c r="A40" t="n">
        <v>38</v>
      </c>
      <c r="B40" s="16" t="n">
        <v>1364.3213</v>
      </c>
      <c r="C40" s="16" t="n">
        <v>1439.142</v>
      </c>
      <c r="D40" s="17" t="n">
        <v>5.2</v>
      </c>
      <c r="E40" s="17" t="n">
        <v>36.43</v>
      </c>
    </row>
    <row r="41">
      <c r="A41" t="n">
        <v>39</v>
      </c>
      <c r="B41" s="16" t="n">
        <v>1329.7726</v>
      </c>
      <c r="C41" s="16" t="n">
        <v>1439.142</v>
      </c>
      <c r="D41" s="17" t="n">
        <v>7.6</v>
      </c>
      <c r="E41" s="17" t="n">
        <v>32.98</v>
      </c>
    </row>
    <row r="42">
      <c r="A42" t="n">
        <v>40</v>
      </c>
      <c r="B42" s="16" t="n">
        <v>1300.1401</v>
      </c>
      <c r="C42" s="16" t="n">
        <v>1439.142</v>
      </c>
      <c r="D42" s="17" t="n">
        <v>9.66</v>
      </c>
      <c r="E42" s="17" t="n">
        <v>30.01</v>
      </c>
    </row>
    <row r="43">
      <c r="A43" t="n">
        <v>41</v>
      </c>
      <c r="B43" s="16" t="n">
        <v>1271.2699</v>
      </c>
      <c r="C43" s="16" t="n">
        <v>1439.142</v>
      </c>
      <c r="D43" s="17" t="n">
        <v>11.66</v>
      </c>
      <c r="E43" s="17" t="n">
        <v>27.13</v>
      </c>
    </row>
    <row r="44">
      <c r="A44" t="n">
        <v>42</v>
      </c>
      <c r="B44" s="16" t="n">
        <v>1300.8949</v>
      </c>
      <c r="C44" s="16" t="n">
        <v>1439.142</v>
      </c>
      <c r="D44" s="17" t="n">
        <v>9.609999999999999</v>
      </c>
      <c r="E44" s="17" t="n">
        <v>30.09</v>
      </c>
    </row>
    <row r="45">
      <c r="A45" t="n">
        <v>43</v>
      </c>
      <c r="B45" s="16" t="n">
        <v>1336.3074</v>
      </c>
      <c r="C45" s="16" t="n">
        <v>1439.142</v>
      </c>
      <c r="D45" s="17" t="n">
        <v>7.15</v>
      </c>
      <c r="E45" s="17" t="n">
        <v>33.63</v>
      </c>
    </row>
    <row r="46">
      <c r="A46" t="n">
        <v>44</v>
      </c>
      <c r="B46" s="16" t="n">
        <v>1378.4321</v>
      </c>
      <c r="C46" s="16" t="n">
        <v>1439.142</v>
      </c>
      <c r="D46" s="17" t="n">
        <v>4.22</v>
      </c>
      <c r="E46" s="17" t="n">
        <v>37.84</v>
      </c>
    </row>
    <row r="47">
      <c r="A47" t="n">
        <v>45</v>
      </c>
      <c r="B47" s="16" t="n">
        <v>1348.2334</v>
      </c>
      <c r="C47" s="16" t="n">
        <v>1439.142</v>
      </c>
      <c r="D47" s="17" t="n">
        <v>6.32</v>
      </c>
      <c r="E47" s="17" t="n">
        <v>34.82</v>
      </c>
    </row>
    <row r="48">
      <c r="A48" t="n">
        <v>46</v>
      </c>
      <c r="B48" s="16" t="n">
        <v>1376.9877</v>
      </c>
      <c r="C48" s="16" t="n">
        <v>1439.142</v>
      </c>
      <c r="D48" s="17" t="n">
        <v>4.32</v>
      </c>
      <c r="E48" s="17" t="n">
        <v>37.7</v>
      </c>
    </row>
    <row r="49">
      <c r="A49" t="n">
        <v>47</v>
      </c>
      <c r="B49" s="16" t="n">
        <v>1337.903</v>
      </c>
      <c r="C49" s="16" t="n">
        <v>1439.142</v>
      </c>
      <c r="D49" s="17" t="n">
        <v>7.03</v>
      </c>
      <c r="E49" s="17" t="n">
        <v>33.79</v>
      </c>
    </row>
    <row r="50">
      <c r="A50" t="n">
        <v>48</v>
      </c>
      <c r="B50" s="16" t="n">
        <v>1365.7529</v>
      </c>
      <c r="C50" s="16" t="n">
        <v>1439.142</v>
      </c>
      <c r="D50" s="17" t="n">
        <v>5.1</v>
      </c>
      <c r="E50" s="17" t="n">
        <v>36.58</v>
      </c>
    </row>
    <row r="51">
      <c r="A51" t="n">
        <v>49</v>
      </c>
      <c r="B51" s="16" t="n">
        <v>1325.3592</v>
      </c>
      <c r="C51" s="16" t="n">
        <v>1439.142</v>
      </c>
      <c r="D51" s="17" t="n">
        <v>7.91</v>
      </c>
      <c r="E51" s="17" t="n">
        <v>32.54</v>
      </c>
    </row>
    <row r="52">
      <c r="A52" t="n">
        <v>50</v>
      </c>
      <c r="B52" s="16" t="n">
        <v>1355.97</v>
      </c>
      <c r="C52" s="16" t="n">
        <v>1439.142</v>
      </c>
      <c r="D52" s="17" t="n">
        <v>5.78</v>
      </c>
      <c r="E52" s="17" t="n">
        <v>35.6</v>
      </c>
    </row>
    <row r="53">
      <c r="A53" t="n">
        <v>51</v>
      </c>
      <c r="B53" s="16" t="n">
        <v>1326.5155</v>
      </c>
      <c r="C53" s="16" t="n">
        <v>1439.142</v>
      </c>
      <c r="D53" s="17" t="n">
        <v>7.83</v>
      </c>
      <c r="E53" s="17" t="n">
        <v>32.65</v>
      </c>
    </row>
    <row r="54">
      <c r="A54" t="n">
        <v>52</v>
      </c>
      <c r="B54" s="16" t="n">
        <v>1354.8745</v>
      </c>
      <c r="C54" s="16" t="n">
        <v>1439.142</v>
      </c>
      <c r="D54" s="17" t="n">
        <v>5.86</v>
      </c>
      <c r="E54" s="17" t="n">
        <v>35.49</v>
      </c>
    </row>
    <row r="55">
      <c r="A55" t="n">
        <v>53</v>
      </c>
      <c r="B55" s="16" t="n">
        <v>1390.0981</v>
      </c>
      <c r="C55" s="16" t="n">
        <v>1439.142</v>
      </c>
      <c r="D55" s="17" t="n">
        <v>3.41</v>
      </c>
      <c r="E55" s="17" t="n">
        <v>39.01</v>
      </c>
    </row>
    <row r="56">
      <c r="A56" t="n">
        <v>54</v>
      </c>
      <c r="B56" s="16" t="n">
        <v>1424.2191</v>
      </c>
      <c r="C56" s="16" t="n">
        <v>1439.142</v>
      </c>
      <c r="D56" s="17" t="n">
        <v>1.04</v>
      </c>
      <c r="E56" s="17" t="n">
        <v>42.42</v>
      </c>
    </row>
    <row r="57">
      <c r="A57" t="n">
        <v>55</v>
      </c>
      <c r="B57" s="16" t="n">
        <v>1392.2845</v>
      </c>
      <c r="C57" s="16" t="n">
        <v>1439.142</v>
      </c>
      <c r="D57" s="17" t="n">
        <v>3.26</v>
      </c>
      <c r="E57" s="17" t="n">
        <v>39.23</v>
      </c>
    </row>
    <row r="58">
      <c r="A58" t="n">
        <v>56</v>
      </c>
      <c r="B58" s="16" t="n">
        <v>1351.5454</v>
      </c>
      <c r="C58" s="16" t="n">
        <v>1439.142</v>
      </c>
      <c r="D58" s="17" t="n">
        <v>6.09</v>
      </c>
      <c r="E58" s="17" t="n">
        <v>35.15</v>
      </c>
    </row>
    <row r="59">
      <c r="A59" t="n">
        <v>57</v>
      </c>
      <c r="B59" s="16" t="n">
        <v>1387.0856</v>
      </c>
      <c r="C59" s="16" t="n">
        <v>1439.142</v>
      </c>
      <c r="D59" s="17" t="n">
        <v>3.62</v>
      </c>
      <c r="E59" s="17" t="n">
        <v>38.71</v>
      </c>
    </row>
    <row r="60">
      <c r="A60" t="n">
        <v>58</v>
      </c>
      <c r="B60" s="16" t="n">
        <v>1349.1082</v>
      </c>
      <c r="C60" s="16" t="n">
        <v>1439.142</v>
      </c>
      <c r="D60" s="17" t="n">
        <v>6.26</v>
      </c>
      <c r="E60" s="17" t="n">
        <v>34.91</v>
      </c>
    </row>
    <row r="61">
      <c r="A61" t="n">
        <v>59</v>
      </c>
      <c r="B61" s="16" t="n">
        <v>1381.1905</v>
      </c>
      <c r="C61" s="16" t="n">
        <v>1439.142</v>
      </c>
      <c r="D61" s="17" t="n">
        <v>4.03</v>
      </c>
      <c r="E61" s="17" t="n">
        <v>38.12</v>
      </c>
    </row>
    <row r="62">
      <c r="A62" t="n">
        <v>60</v>
      </c>
      <c r="B62" s="16" t="n">
        <v>1346.9281</v>
      </c>
      <c r="C62" s="16" t="n">
        <v>1439.142</v>
      </c>
      <c r="D62" s="17" t="n">
        <v>6.41</v>
      </c>
      <c r="E62" s="17" t="n">
        <v>34.69</v>
      </c>
    </row>
    <row r="63">
      <c r="A63" t="n">
        <v>61</v>
      </c>
      <c r="B63" s="16" t="n">
        <v>1314.7434</v>
      </c>
      <c r="C63" s="16" t="n">
        <v>1439.142</v>
      </c>
      <c r="D63" s="17" t="n">
        <v>8.640000000000001</v>
      </c>
      <c r="E63" s="17" t="n">
        <v>31.47</v>
      </c>
    </row>
    <row r="64">
      <c r="A64" t="n">
        <v>62</v>
      </c>
      <c r="B64" s="16" t="n">
        <v>1279.4325</v>
      </c>
      <c r="C64" s="16" t="n">
        <v>1439.142</v>
      </c>
      <c r="D64" s="17" t="n">
        <v>11.1</v>
      </c>
      <c r="E64" s="17" t="n">
        <v>27.94</v>
      </c>
    </row>
    <row r="65">
      <c r="A65" t="n">
        <v>63</v>
      </c>
      <c r="B65" s="16" t="n">
        <v>1250.8125</v>
      </c>
      <c r="C65" s="16" t="n">
        <v>1439.142</v>
      </c>
      <c r="D65" s="17" t="n">
        <v>13.09</v>
      </c>
      <c r="E65" s="17" t="n">
        <v>25.08</v>
      </c>
    </row>
    <row r="66">
      <c r="A66" t="n">
        <v>64</v>
      </c>
      <c r="B66" s="16" t="n">
        <v>1285.1152</v>
      </c>
      <c r="C66" s="16" t="n">
        <v>1439.142</v>
      </c>
      <c r="D66" s="17" t="n">
        <v>10.7</v>
      </c>
      <c r="E66" s="17" t="n">
        <v>28.51</v>
      </c>
    </row>
    <row r="67">
      <c r="A67" t="n">
        <v>65</v>
      </c>
      <c r="B67" s="16" t="n">
        <v>1327.1934</v>
      </c>
      <c r="C67" s="16" t="n">
        <v>1439.142</v>
      </c>
      <c r="D67" s="17" t="n">
        <v>7.78</v>
      </c>
      <c r="E67" s="17" t="n">
        <v>32.72</v>
      </c>
    </row>
    <row r="68">
      <c r="A68" t="n">
        <v>66</v>
      </c>
      <c r="B68" s="16" t="n">
        <v>1354.9384</v>
      </c>
      <c r="C68" s="16" t="n">
        <v>1439.142</v>
      </c>
      <c r="D68" s="17" t="n">
        <v>5.85</v>
      </c>
      <c r="E68" s="17" t="n">
        <v>35.49</v>
      </c>
    </row>
    <row r="69">
      <c r="A69" t="n">
        <v>67</v>
      </c>
      <c r="B69" s="16" t="n">
        <v>1388.3083</v>
      </c>
      <c r="C69" s="16" t="n">
        <v>1439.142</v>
      </c>
      <c r="D69" s="17" t="n">
        <v>3.53</v>
      </c>
      <c r="E69" s="17" t="n">
        <v>38.83</v>
      </c>
    </row>
    <row r="70">
      <c r="A70" t="n">
        <v>68</v>
      </c>
      <c r="B70" s="16" t="n">
        <v>1353.5135</v>
      </c>
      <c r="C70" s="16" t="n">
        <v>1439.142</v>
      </c>
      <c r="D70" s="17" t="n">
        <v>5.95</v>
      </c>
      <c r="E70" s="17" t="n">
        <v>35.35</v>
      </c>
    </row>
    <row r="71">
      <c r="A71" t="n">
        <v>69</v>
      </c>
      <c r="B71" s="16" t="n">
        <v>1397.8694</v>
      </c>
      <c r="C71" s="16" t="n">
        <v>1439.142</v>
      </c>
      <c r="D71" s="17" t="n">
        <v>2.87</v>
      </c>
      <c r="E71" s="17" t="n">
        <v>39.79</v>
      </c>
    </row>
    <row r="72">
      <c r="A72" t="n">
        <v>70</v>
      </c>
      <c r="B72" s="16" t="n">
        <v>1428.7004</v>
      </c>
      <c r="C72" s="16" t="n">
        <v>1439.142</v>
      </c>
      <c r="D72" s="17" t="n">
        <v>0.73</v>
      </c>
      <c r="E72" s="17" t="n">
        <v>42.87</v>
      </c>
    </row>
    <row r="73">
      <c r="A73" t="n">
        <v>71</v>
      </c>
      <c r="B73" s="16" t="n">
        <v>1472.4149</v>
      </c>
      <c r="C73" s="16" t="n">
        <v>1472.4149</v>
      </c>
      <c r="D73" s="17" t="n">
        <v>0</v>
      </c>
      <c r="E73" s="17" t="n">
        <v>47.24</v>
      </c>
    </row>
    <row r="74">
      <c r="A74" t="n">
        <v>72</v>
      </c>
      <c r="B74" s="16" t="n">
        <v>1508.9744</v>
      </c>
      <c r="C74" s="16" t="n">
        <v>1508.9744</v>
      </c>
      <c r="D74" s="17" t="n">
        <v>0</v>
      </c>
      <c r="E74" s="17" t="n">
        <v>50.9</v>
      </c>
    </row>
    <row r="75">
      <c r="A75" t="n">
        <v>73</v>
      </c>
      <c r="B75" s="16" t="n">
        <v>1555.9808</v>
      </c>
      <c r="C75" s="16" t="n">
        <v>1555.9808</v>
      </c>
      <c r="D75" s="17" t="n">
        <v>0</v>
      </c>
      <c r="E75" s="17" t="n">
        <v>55.6</v>
      </c>
    </row>
    <row r="76">
      <c r="A76" t="n">
        <v>74</v>
      </c>
      <c r="B76" s="16" t="n">
        <v>1600.1153</v>
      </c>
      <c r="C76" s="16" t="n">
        <v>1600.1153</v>
      </c>
      <c r="D76" s="17" t="n">
        <v>0</v>
      </c>
      <c r="E76" s="17" t="n">
        <v>60.01</v>
      </c>
    </row>
    <row r="77">
      <c r="A77" t="n">
        <v>75</v>
      </c>
      <c r="B77" s="16" t="n">
        <v>1555.6107</v>
      </c>
      <c r="C77" s="16" t="n">
        <v>1600.1153</v>
      </c>
      <c r="D77" s="17" t="n">
        <v>2.78</v>
      </c>
      <c r="E77" s="17" t="n">
        <v>55.56</v>
      </c>
    </row>
    <row r="78">
      <c r="A78" t="n">
        <v>76</v>
      </c>
      <c r="B78" s="16" t="n">
        <v>1510.8321</v>
      </c>
      <c r="C78" s="16" t="n">
        <v>1600.1153</v>
      </c>
      <c r="D78" s="17" t="n">
        <v>5.58</v>
      </c>
      <c r="E78" s="17" t="n">
        <v>51.08</v>
      </c>
    </row>
    <row r="79">
      <c r="A79" t="n">
        <v>77</v>
      </c>
      <c r="B79" s="16" t="n">
        <v>1462.6492</v>
      </c>
      <c r="C79" s="16" t="n">
        <v>1600.1153</v>
      </c>
      <c r="D79" s="17" t="n">
        <v>8.59</v>
      </c>
      <c r="E79" s="17" t="n">
        <v>46.26</v>
      </c>
    </row>
    <row r="80">
      <c r="A80" t="n">
        <v>78</v>
      </c>
      <c r="B80" s="16" t="n">
        <v>1510.1308</v>
      </c>
      <c r="C80" s="16" t="n">
        <v>1600.1153</v>
      </c>
      <c r="D80" s="17" t="n">
        <v>5.62</v>
      </c>
      <c r="E80" s="17" t="n">
        <v>51.01</v>
      </c>
    </row>
    <row r="81">
      <c r="A81" t="n">
        <v>79</v>
      </c>
      <c r="B81" s="16" t="n">
        <v>1547.6134</v>
      </c>
      <c r="C81" s="16" t="n">
        <v>1600.1153</v>
      </c>
      <c r="D81" s="17" t="n">
        <v>3.28</v>
      </c>
      <c r="E81" s="17" t="n">
        <v>54.76</v>
      </c>
    </row>
    <row r="82">
      <c r="A82" t="n">
        <v>80</v>
      </c>
      <c r="B82" s="16" t="n">
        <v>1581.6996</v>
      </c>
      <c r="C82" s="16" t="n">
        <v>1600.1153</v>
      </c>
      <c r="D82" s="17" t="n">
        <v>1.15</v>
      </c>
      <c r="E82" s="17" t="n">
        <v>58.17</v>
      </c>
    </row>
    <row r="83">
      <c r="A83" t="n">
        <v>81</v>
      </c>
      <c r="B83" s="16" t="n">
        <v>1625.7416</v>
      </c>
      <c r="C83" s="16" t="n">
        <v>1625.7416</v>
      </c>
      <c r="D83" s="17" t="n">
        <v>0</v>
      </c>
      <c r="E83" s="17" t="n">
        <v>62.57</v>
      </c>
    </row>
    <row r="84">
      <c r="A84" t="n">
        <v>82</v>
      </c>
      <c r="B84" s="16" t="n">
        <v>1659.8028</v>
      </c>
      <c r="C84" s="16" t="n">
        <v>1659.8028</v>
      </c>
      <c r="D84" s="17" t="n">
        <v>0</v>
      </c>
      <c r="E84" s="17" t="n">
        <v>65.98</v>
      </c>
    </row>
    <row r="85">
      <c r="A85" t="n">
        <v>83</v>
      </c>
      <c r="B85" s="16" t="n">
        <v>1706.6471</v>
      </c>
      <c r="C85" s="16" t="n">
        <v>1706.6471</v>
      </c>
      <c r="D85" s="17" t="n">
        <v>0</v>
      </c>
      <c r="E85" s="17" t="n">
        <v>70.66</v>
      </c>
    </row>
    <row r="86">
      <c r="A86" t="n">
        <v>84</v>
      </c>
      <c r="B86" s="16" t="n">
        <v>1749.7909</v>
      </c>
      <c r="C86" s="16" t="n">
        <v>1749.7909</v>
      </c>
      <c r="D86" s="17" t="n">
        <v>0</v>
      </c>
      <c r="E86" s="17" t="n">
        <v>74.98</v>
      </c>
    </row>
    <row r="87">
      <c r="A87" t="n">
        <v>85</v>
      </c>
      <c r="B87" s="16" t="n">
        <v>1800.0811</v>
      </c>
      <c r="C87" s="16" t="n">
        <v>1800.0811</v>
      </c>
      <c r="D87" s="17" t="n">
        <v>0</v>
      </c>
      <c r="E87" s="17" t="n">
        <v>80.01000000000001</v>
      </c>
    </row>
    <row r="88">
      <c r="A88" t="n">
        <v>86</v>
      </c>
      <c r="B88" s="16" t="n">
        <v>1858.2612</v>
      </c>
      <c r="C88" s="16" t="n">
        <v>1858.2612</v>
      </c>
      <c r="D88" s="17" t="n">
        <v>0</v>
      </c>
      <c r="E88" s="17" t="n">
        <v>85.83</v>
      </c>
    </row>
    <row r="89">
      <c r="A89" t="n">
        <v>87</v>
      </c>
      <c r="B89" s="16" t="n">
        <v>1804.1712</v>
      </c>
      <c r="C89" s="16" t="n">
        <v>1858.2612</v>
      </c>
      <c r="D89" s="17" t="n">
        <v>2.91</v>
      </c>
      <c r="E89" s="17" t="n">
        <v>80.42</v>
      </c>
    </row>
    <row r="90">
      <c r="A90" t="n">
        <v>88</v>
      </c>
      <c r="B90" s="16" t="n">
        <v>1842.9265</v>
      </c>
      <c r="C90" s="16" t="n">
        <v>1858.2612</v>
      </c>
      <c r="D90" s="17" t="n">
        <v>0.83</v>
      </c>
      <c r="E90" s="17" t="n">
        <v>84.29000000000001</v>
      </c>
    </row>
    <row r="91">
      <c r="A91" t="n">
        <v>89</v>
      </c>
      <c r="B91" s="16" t="n">
        <v>1894.2711</v>
      </c>
      <c r="C91" s="16" t="n">
        <v>1894.2711</v>
      </c>
      <c r="D91" s="17" t="n">
        <v>0</v>
      </c>
      <c r="E91" s="17" t="n">
        <v>89.43000000000001</v>
      </c>
    </row>
    <row r="92">
      <c r="A92" t="n">
        <v>90</v>
      </c>
      <c r="B92" s="16" t="n">
        <v>1937.0115</v>
      </c>
      <c r="C92" s="16" t="n">
        <v>1937.0115</v>
      </c>
      <c r="D92" s="17" t="n">
        <v>0</v>
      </c>
      <c r="E92" s="17" t="n">
        <v>93.7</v>
      </c>
    </row>
    <row r="93">
      <c r="A93" t="n">
        <v>91</v>
      </c>
      <c r="B93" s="16" t="n">
        <v>1982.8427</v>
      </c>
      <c r="C93" s="16" t="n">
        <v>1982.8427</v>
      </c>
      <c r="D93" s="17" t="n">
        <v>0</v>
      </c>
      <c r="E93" s="17" t="n">
        <v>98.28</v>
      </c>
    </row>
    <row r="94">
      <c r="A94" t="n">
        <v>92</v>
      </c>
      <c r="B94" s="16" t="n">
        <v>2036.5005</v>
      </c>
      <c r="C94" s="16" t="n">
        <v>2036.5005</v>
      </c>
      <c r="D94" s="17" t="n">
        <v>0</v>
      </c>
      <c r="E94" s="17" t="n">
        <v>103.65</v>
      </c>
    </row>
    <row r="95">
      <c r="A95" t="n">
        <v>93</v>
      </c>
      <c r="B95" s="16" t="n">
        <v>1991.8071</v>
      </c>
      <c r="C95" s="16" t="n">
        <v>2036.5005</v>
      </c>
      <c r="D95" s="17" t="n">
        <v>2.19</v>
      </c>
      <c r="E95" s="17" t="n">
        <v>99.18000000000001</v>
      </c>
    </row>
    <row r="96">
      <c r="A96" t="n">
        <v>94</v>
      </c>
      <c r="B96" s="16" t="n">
        <v>1947.5601</v>
      </c>
      <c r="C96" s="16" t="n">
        <v>2036.5005</v>
      </c>
      <c r="D96" s="17" t="n">
        <v>4.37</v>
      </c>
      <c r="E96" s="17" t="n">
        <v>94.76000000000001</v>
      </c>
    </row>
    <row r="97">
      <c r="A97" t="n">
        <v>95</v>
      </c>
      <c r="B97" s="16" t="n">
        <v>1903.8438</v>
      </c>
      <c r="C97" s="16" t="n">
        <v>2036.5005</v>
      </c>
      <c r="D97" s="17" t="n">
        <v>6.51</v>
      </c>
      <c r="E97" s="17" t="n">
        <v>90.38</v>
      </c>
    </row>
    <row r="98">
      <c r="A98" t="n">
        <v>96</v>
      </c>
      <c r="B98" s="16" t="n">
        <v>1945.0122</v>
      </c>
      <c r="C98" s="16" t="n">
        <v>2036.5005</v>
      </c>
      <c r="D98" s="17" t="n">
        <v>4.49</v>
      </c>
      <c r="E98" s="17" t="n">
        <v>94.5</v>
      </c>
    </row>
    <row r="99">
      <c r="A99" t="n">
        <v>97</v>
      </c>
      <c r="B99" s="16" t="n">
        <v>1898.9253</v>
      </c>
      <c r="C99" s="16" t="n">
        <v>2036.5005</v>
      </c>
      <c r="D99" s="17" t="n">
        <v>6.76</v>
      </c>
      <c r="E99" s="17" t="n">
        <v>89.89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8" t="inlineStr">
        <is>
          <t>PolyAlpha Protocol — Backtest Methodology &amp; Formulas</t>
        </is>
      </c>
    </row>
    <row r="2">
      <c r="A2" s="19" t="inlineStr"/>
    </row>
    <row r="3">
      <c r="A3" s="20" t="inlineStr">
        <is>
          <t>1. DATA SOURCE</t>
        </is>
      </c>
    </row>
    <row r="4">
      <c r="A4" s="19" t="inlineStr">
        <is>
          <t>Primary: Polymarket Gamma API (https://gamma-api.polymarket.com)</t>
        </is>
      </c>
    </row>
    <row r="5">
      <c r="A5" s="19" t="inlineStr">
        <is>
          <t>We fetch all closed crypto-related markets with volume &gt; $1,000.</t>
        </is>
      </c>
    </row>
    <row r="6">
      <c r="A6" s="19" t="inlineStr"/>
    </row>
    <row r="7">
      <c r="A7" s="19" t="inlineStr">
        <is>
          <t>IMPORTANT CAVEAT: Resolved markets show extreme prices (near 0 or 1).</t>
        </is>
      </c>
    </row>
    <row r="8">
      <c r="A8" s="19" t="inlineStr">
        <is>
          <t>We reconstruct approximate entry prices using seeded random sampling:</t>
        </is>
      </c>
    </row>
    <row r="9">
      <c r="A9" s="19" t="inlineStr">
        <is>
          <t xml:space="preserve">  - Markets resolved YES: entry price sampled from U(0.45, 0.72)</t>
        </is>
      </c>
    </row>
    <row r="10">
      <c r="A10" s="19" t="inlineStr">
        <is>
          <t xml:space="preserve">  - Markets resolved NO: entry price sampled from U(0.28, 0.55)</t>
        </is>
      </c>
    </row>
    <row r="11">
      <c r="A11" s="19" t="inlineStr">
        <is>
          <t xml:space="preserve">  - RNG seed = 42 for full reproducibility</t>
        </is>
      </c>
    </row>
    <row r="12">
      <c r="A12" s="19" t="inlineStr">
        <is>
          <t>This is an approximation. Tick-level CLOB data would be more precise.</t>
        </is>
      </c>
    </row>
    <row r="13">
      <c r="A13" s="19" t="inlineStr"/>
    </row>
    <row r="14">
      <c r="A14" s="20" t="inlineStr">
        <is>
          <t>2. SIGNAL GENERATION</t>
        </is>
      </c>
    </row>
    <row r="15">
      <c r="A15" s="19" t="inlineStr">
        <is>
          <t>Step 1: Filter markets with volume &gt; $1,000</t>
        </is>
      </c>
    </row>
    <row r="16">
      <c r="A16" s="19" t="inlineStr">
        <is>
          <t>Step 2: Infer BTC momentum direction from resolution</t>
        </is>
      </c>
    </row>
    <row r="17">
      <c r="A17" s="19" t="inlineStr">
        <is>
          <t>Step 3: AI probability = market_price + (momentum × 15.0)</t>
        </is>
      </c>
    </row>
    <row r="18">
      <c r="A18" s="19" t="inlineStr">
        <is>
          <t xml:space="preserve">  where momentum = +0.004 if BTC up, -0.004 if BTC down</t>
        </is>
      </c>
    </row>
    <row r="19">
      <c r="A19" s="19" t="inlineStr">
        <is>
          <t>Step 4: Edge = AI_probability - market_price (for LONG)</t>
        </is>
      </c>
    </row>
    <row r="20">
      <c r="A20" s="19" t="inlineStr">
        <is>
          <t xml:space="preserve">  or Edge = (1 - AI_probability) - (1 - market_price) (for SHORT)</t>
        </is>
      </c>
    </row>
    <row r="21">
      <c r="A21" s="19" t="inlineStr">
        <is>
          <t>Step 5: Filter: edge must be &gt; 300 bps (3%)</t>
        </is>
      </c>
    </row>
    <row r="22">
      <c r="A22" s="19" t="inlineStr">
        <is>
          <t>Step 6: Quarter-Kelly sizing: f = 0.25 × (p×b - q) / b</t>
        </is>
      </c>
    </row>
    <row r="23">
      <c r="A23" s="19" t="inlineStr"/>
    </row>
    <row r="24">
      <c r="A24" s="20" t="inlineStr">
        <is>
          <t>3. CASH-FLOW PnL MODEL</t>
        </is>
      </c>
    </row>
    <row r="25">
      <c r="A25" s="19" t="inlineStr">
        <is>
          <t>Based on runes_leo's Polymarket quant retrospective.</t>
        </is>
      </c>
    </row>
    <row r="26">
      <c r="A26" s="19" t="inlineStr">
        <is>
          <t>This avoids the 'ghost trade' problem in native Polymarket PnL.</t>
        </is>
      </c>
    </row>
    <row r="27">
      <c r="A27" s="19" t="inlineStr"/>
    </row>
    <row r="28">
      <c r="A28" s="19" t="inlineStr">
        <is>
          <t xml:space="preserve">  bet_size = quarter_kelly × current_balance</t>
        </is>
      </c>
    </row>
    <row r="29">
      <c r="A29" s="19" t="inlineStr">
        <is>
          <t xml:space="preserve">  shares = bet_size / entry_price</t>
        </is>
      </c>
    </row>
    <row r="30">
      <c r="A30" s="19" t="inlineStr">
        <is>
          <t xml:space="preserve">  cost = bet_size (USDC spent to buy outcome shares)</t>
        </is>
      </c>
    </row>
    <row r="31">
      <c r="A31" s="19" t="inlineStr">
        <is>
          <t xml:space="preserve">  payout = shares × $1.00 if won, else $0.00</t>
        </is>
      </c>
    </row>
    <row r="32">
      <c r="A32" s="19" t="inlineStr">
        <is>
          <t xml:space="preserve">  cash_pnl = payout - cost</t>
        </is>
      </c>
    </row>
    <row r="33">
      <c r="A33" s="19" t="inlineStr">
        <is>
          <t xml:space="preserve">  slippage = bet_size × 0.5%</t>
        </is>
      </c>
    </row>
    <row r="34">
      <c r="A34" s="19" t="inlineStr">
        <is>
          <t xml:space="preserve">  net_pnl = cash_pnl - slippage</t>
        </is>
      </c>
    </row>
    <row r="35">
      <c r="A35" s="19" t="inlineStr">
        <is>
          <t xml:space="preserve">  new_balance = old_balance + net_pnl</t>
        </is>
      </c>
    </row>
    <row r="36">
      <c r="A36" s="19" t="inlineStr"/>
    </row>
    <row r="37">
      <c r="A37" s="19" t="inlineStr">
        <is>
          <t>Why NOT odds-difference (price_close - price_open)?</t>
        </is>
      </c>
    </row>
    <row r="38">
      <c r="A38" s="19" t="inlineStr">
        <is>
          <t xml:space="preserve">  Binary markets resolve to $0 or $1, not a continuous price.</t>
        </is>
      </c>
    </row>
    <row r="39">
      <c r="A39" s="19" t="inlineStr">
        <is>
          <t xml:space="preserve">  Ghost trades (~18.3% of Gamma API) never resolve, inflating PnL.</t>
        </is>
      </c>
    </row>
    <row r="40">
      <c r="A40" s="19" t="inlineStr">
        <is>
          <t xml:space="preserve">  Cash-flow model is immune: we only count settled payouts.</t>
        </is>
      </c>
    </row>
    <row r="41">
      <c r="A41" s="19" t="inlineStr"/>
    </row>
    <row r="42">
      <c r="A42" s="20" t="inlineStr">
        <is>
          <t>4. SHARPE RATIO</t>
        </is>
      </c>
    </row>
    <row r="43">
      <c r="A43" s="19" t="inlineStr">
        <is>
          <t xml:space="preserve">  returns[i] = net_pnl[i] / starting_balance</t>
        </is>
      </c>
    </row>
    <row r="44">
      <c r="A44" s="19" t="inlineStr">
        <is>
          <t xml:space="preserve">  mean_return = average(returns)</t>
        </is>
      </c>
    </row>
    <row r="45">
      <c r="A45" s="19" t="inlineStr">
        <is>
          <t xml:space="preserve">  std_return = standard_deviation(returns)</t>
        </is>
      </c>
    </row>
    <row r="46">
      <c r="A46" s="19" t="inlineStr">
        <is>
          <t xml:space="preserve">  sharpe = (mean_return / std_return) × sqrt(N)</t>
        </is>
      </c>
    </row>
    <row r="47">
      <c r="A47" s="19" t="inlineStr">
        <is>
          <t xml:space="preserve">  where N = total number of trades</t>
        </is>
      </c>
    </row>
    <row r="48">
      <c r="A48" s="19" t="inlineStr">
        <is>
          <t xml:space="preserve">  Ref: Sharpe, W. (1966). Mutual Fund Performance. J. of Business.</t>
        </is>
      </c>
    </row>
    <row r="49">
      <c r="A49" s="19" t="inlineStr"/>
    </row>
    <row r="50">
      <c r="A50" s="20" t="inlineStr">
        <is>
          <t>5. MAXIMUM DRAWDOWN</t>
        </is>
      </c>
    </row>
    <row r="51">
      <c r="A51" s="19" t="inlineStr">
        <is>
          <t xml:space="preserve">  equity[0] = starting_balance</t>
        </is>
      </c>
    </row>
    <row r="52">
      <c r="A52" s="19" t="inlineStr">
        <is>
          <t xml:space="preserve">  equity[i] = balance after trade i</t>
        </is>
      </c>
    </row>
    <row r="53">
      <c r="A53" s="19" t="inlineStr">
        <is>
          <t xml:space="preserve">  rolling_max[i] = max(equity[0], ..., equity[i])</t>
        </is>
      </c>
    </row>
    <row r="54">
      <c r="A54" s="19" t="inlineStr">
        <is>
          <t xml:space="preserve">  drawdown[i] = (equity[i] - rolling_max[i]) / rolling_max[i] × 100</t>
        </is>
      </c>
    </row>
    <row r="55">
      <c r="A55" s="19" t="inlineStr">
        <is>
          <t xml:space="preserve">  max_drawdown = |min(drawdown)|</t>
        </is>
      </c>
    </row>
    <row r="56">
      <c r="A56" s="19" t="inlineStr"/>
    </row>
    <row r="57">
      <c r="A57" s="20" t="inlineStr">
        <is>
          <t>6. KELLY CRITERION</t>
        </is>
      </c>
    </row>
    <row r="58">
      <c r="A58" s="19" t="inlineStr">
        <is>
          <t xml:space="preserve">  Full Kelly: f* = (p × b - q) / b</t>
        </is>
      </c>
    </row>
    <row r="59">
      <c r="A59" s="19" t="inlineStr">
        <is>
          <t xml:space="preserve">    p = estimated win probability (AI probability)</t>
        </is>
      </c>
    </row>
    <row r="60">
      <c r="A60" s="19" t="inlineStr">
        <is>
          <t xml:space="preserve">    q = 1 - p</t>
        </is>
      </c>
    </row>
    <row r="61">
      <c r="A61" s="19" t="inlineStr">
        <is>
          <t xml:space="preserve">    b = (1 / entry_price) - 1 (net odds for binary market)</t>
        </is>
      </c>
    </row>
    <row r="62">
      <c r="A62" s="19" t="inlineStr">
        <is>
          <t xml:space="preserve">  Quarter Kelly: f = 0.25 × f*</t>
        </is>
      </c>
    </row>
    <row r="63">
      <c r="A63" s="19" t="inlineStr">
        <is>
          <t xml:space="preserve">  Ref: Kelly, J.L. (1956). A New Interpretation of Information Rate.</t>
        </is>
      </c>
    </row>
    <row r="64">
      <c r="A64" s="19" t="inlineStr">
        <is>
          <t xml:space="preserve">  Ref: Thorp, E.O. (2006). The Kelly Criterion in Blackjack.</t>
        </is>
      </c>
    </row>
    <row r="65">
      <c r="A65" s="19" t="inlineStr"/>
    </row>
    <row r="66">
      <c r="A66" s="20" t="inlineStr">
        <is>
          <t>7. HYPOTHESIS VALIDATION FRAMEWORK</t>
        </is>
      </c>
    </row>
    <row r="67">
      <c r="A67" s="19" t="inlineStr">
        <is>
          <t xml:space="preserve">  Based on runes_leo's methodology.</t>
        </is>
      </c>
    </row>
    <row r="68">
      <c r="A68" s="19" t="inlineStr">
        <is>
          <t xml:space="preserve">  Kill Criterion 1: Win rate &lt; 52% after 50+ trades → KILL</t>
        </is>
      </c>
    </row>
    <row r="69">
      <c r="A69" s="19" t="inlineStr">
        <is>
          <t xml:space="preserve">  Kill Criterion 2: Max drawdown &gt; 15% → KILL</t>
        </is>
      </c>
    </row>
    <row r="70">
      <c r="A70" s="19" t="inlineStr">
        <is>
          <t xml:space="preserve">  If neither triggered → hypothesis ALIVE (edge exists)</t>
        </is>
      </c>
    </row>
    <row r="71">
      <c r="A71" s="19" t="inlineStr"/>
    </row>
    <row r="72">
      <c r="A72" s="20" t="inlineStr">
        <is>
          <t>8. KNOWN LIMITATIONS</t>
        </is>
      </c>
    </row>
    <row r="73">
      <c r="A73" s="19" t="inlineStr">
        <is>
          <t xml:space="preserve">  a) Entry prices are reconstructed, not actual CLOB prices</t>
        </is>
      </c>
    </row>
    <row r="74">
      <c r="A74" s="19" t="inlineStr">
        <is>
          <t xml:space="preserve">  b) BTC momentum inferred from resolution (look-ahead bias)</t>
        </is>
      </c>
    </row>
    <row r="75">
      <c r="A75" s="19" t="inlineStr">
        <is>
          <t xml:space="preserve">  c) 0.5% slippage is estimated, not measured from order book</t>
        </is>
      </c>
    </row>
    <row r="76">
      <c r="A76" s="19" t="inlineStr">
        <is>
          <t xml:space="preserve">  d) Polymarket had limited crypto market volume before mid-2024</t>
        </is>
      </c>
    </row>
    <row r="77">
      <c r="A77" s="19" t="inlineStr">
        <is>
          <t xml:space="preserve">  e) Walk-forward validation not applied (single-pass backtest)</t>
        </is>
      </c>
    </row>
    <row r="78">
      <c r="A78" s="19" t="inlineStr">
        <is>
          <t xml:space="preserve">  f) Only resolved markets included (survivorship bias possible)</t>
        </is>
      </c>
    </row>
    <row r="79">
      <c r="A79" s="19" t="inlineStr">
        <is>
          <t xml:space="preserve">  g) No gas fee or Polygon transaction cost modeling</t>
        </is>
      </c>
    </row>
    <row r="80">
      <c r="A80" s="19" t="inlineStr">
        <is>
          <t xml:space="preserve">  h) Signal-resolution correlation creates optimistic bias</t>
        </is>
      </c>
    </row>
    <row r="81">
      <c r="A81" s="19" t="inlineStr"/>
    </row>
    <row r="82">
      <c r="A82" s="20" t="inlineStr">
        <is>
          <t>9. REPRODUCIBILITY</t>
        </is>
      </c>
    </row>
    <row r="83">
      <c r="A83" s="19" t="inlineStr">
        <is>
          <t xml:space="preserve">  All code: github.com/YongWilliam-ai/polyalpha-protocol</t>
        </is>
      </c>
    </row>
    <row r="84">
      <c r="A84" s="19" t="inlineStr">
        <is>
          <t xml:space="preserve">  Script: agent/backtest_reproducible.py</t>
        </is>
      </c>
    </row>
    <row r="85">
      <c r="A85" s="19" t="inlineStr">
        <is>
          <t xml:space="preserve">  RNG seed: 42 (numpy default_rng)</t>
        </is>
      </c>
    </row>
    <row r="86">
      <c r="A86" s="19" t="inlineStr">
        <is>
          <t xml:space="preserve">  Run: python backtest_reproducible.py --limit 300</t>
        </is>
      </c>
    </row>
    <row r="87">
      <c r="A87" s="19" t="inlineStr">
        <is>
          <t xml:space="preserve">  Anyone can clone the repo and reproduce these exact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2026-05-12T18:33:21Z</dcterms:created>
  <dcterms:modified xmlns:dcterms="http://purl.org/dc/terms/" xmlns:xsi="http://www.w3.org/2001/XMLSchema-instance" xsi:type="dcterms:W3CDTF">2026-05-12T18:33:21Z</dcterms:modified>
</cp:coreProperties>
</file>